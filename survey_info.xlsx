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defaultThemeVersion="202300"/>
  <mc:AlternateContent xmlns:mc="http://schemas.openxmlformats.org/markup-compatibility/2006">
    <mc:Choice Requires="x15">
      <x15ac:absPath xmlns:x15ac="http://schemas.microsoft.com/office/spreadsheetml/2010/11/ac" url="/Users/sofiamorgado/Desktop/survey_ml_cad/"/>
    </mc:Choice>
  </mc:AlternateContent>
  <xr:revisionPtr revIDLastSave="0" documentId="13_ncr:1_{3CB24918-80A6-7F4B-9671-3515E2D5F7AD}" xr6:coauthVersionLast="47" xr6:coauthVersionMax="47" xr10:uidLastSave="{00000000-0000-0000-0000-000000000000}"/>
  <bookViews>
    <workbookView xWindow="-500" yWindow="780" windowWidth="19820" windowHeight="19780" xr2:uid="{775E742D-3574-834D-BFD8-73EB03BF95DA}"/>
  </bookViews>
  <sheets>
    <sheet name="search_queries" sheetId="2" r:id="rId1"/>
    <sheet name="articles" sheetId="19"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2" l="1"/>
</calcChain>
</file>

<file path=xl/sharedStrings.xml><?xml version="1.0" encoding="utf-8"?>
<sst xmlns="http://schemas.openxmlformats.org/spreadsheetml/2006/main" count="3443" uniqueCount="1087">
  <si>
    <t>Data</t>
  </si>
  <si>
    <t>Link</t>
  </si>
  <si>
    <t>AuthorYear</t>
  </si>
  <si>
    <t>Citation</t>
  </si>
  <si>
    <t>Database</t>
  </si>
  <si>
    <t>Search Query</t>
  </si>
  <si>
    <t>IEEE</t>
  </si>
  <si>
    <t>Pubmed</t>
  </si>
  <si>
    <t>Search Link</t>
  </si>
  <si>
    <t>Number of Results</t>
  </si>
  <si>
    <t>SpringerNature</t>
  </si>
  <si>
    <t>ACM Digital Library</t>
  </si>
  <si>
    <t>Abstract Review</t>
  </si>
  <si>
    <t>Full-Text Review</t>
  </si>
  <si>
    <t>Relevant</t>
  </si>
  <si>
    <t>Excluded</t>
  </si>
  <si>
    <t>ACM</t>
  </si>
  <si>
    <t>Sajid2024</t>
  </si>
  <si>
    <t>Article type</t>
  </si>
  <si>
    <t>Omkari2024</t>
  </si>
  <si>
    <t>Manduchi2022</t>
  </si>
  <si>
    <t>Duplicate</t>
  </si>
  <si>
    <t>TOTAL</t>
  </si>
  <si>
    <t>Tabular</t>
  </si>
  <si>
    <t>https://ieeexplore.ieee.org/document/10663854</t>
  </si>
  <si>
    <t>Number of patients</t>
  </si>
  <si>
    <t>Features</t>
  </si>
  <si>
    <t>Preprocessing</t>
  </si>
  <si>
    <t>Main Task</t>
  </si>
  <si>
    <t>ML for task</t>
  </si>
  <si>
    <t>ML for interpretability</t>
  </si>
  <si>
    <t>Metrics and Results</t>
  </si>
  <si>
    <t>Encode - Simple Imputation - Feature selection by hand - SHAP for visualization - normalization - SMOTE</t>
  </si>
  <si>
    <t>Abdollahi2024</t>
  </si>
  <si>
    <t>Nassif2018</t>
  </si>
  <si>
    <t>Gill2022</t>
  </si>
  <si>
    <t>Phadke2020</t>
  </si>
  <si>
    <t>Balakrishnan2022</t>
  </si>
  <si>
    <t>Apostolopoulos2022</t>
  </si>
  <si>
    <t>Chang2022</t>
  </si>
  <si>
    <t>Nagra2024</t>
  </si>
  <si>
    <t>Pramanik2023</t>
  </si>
  <si>
    <t>Mansoor2023</t>
  </si>
  <si>
    <t>Sharma2025</t>
  </si>
  <si>
    <t>Sharma2024</t>
  </si>
  <si>
    <t>Kukreti2024</t>
  </si>
  <si>
    <t>Jamthikar2022</t>
  </si>
  <si>
    <t>Devi2022</t>
  </si>
  <si>
    <t>Parthasarthy2022</t>
  </si>
  <si>
    <t>Das2020</t>
  </si>
  <si>
    <t>Ghorbani2023</t>
  </si>
  <si>
    <t>Rahman2025</t>
  </si>
  <si>
    <t>Kaur2023</t>
  </si>
  <si>
    <t>Alqulaity2023</t>
  </si>
  <si>
    <t>Kalpana2024</t>
  </si>
  <si>
    <t>Kaushik2024</t>
  </si>
  <si>
    <t>Mehmood2024</t>
  </si>
  <si>
    <t>Sajid2024b</t>
  </si>
  <si>
    <t>CAD detection</t>
  </si>
  <si>
    <t>CAD stratifi/prog</t>
  </si>
  <si>
    <t>CAD treat</t>
  </si>
  <si>
    <t>Data public</t>
  </si>
  <si>
    <t>Reason Exclusion</t>
  </si>
  <si>
    <t>Modality</t>
  </si>
  <si>
    <t>Modality Comments</t>
  </si>
  <si>
    <t>NA</t>
  </si>
  <si>
    <t>(("Document Title":"Coronary Artery Disease" OR "Document Title":"Chronic coronary disease" OR "Document Title":"Coronary heart disease") AND ( "Document Title":"Machine Learning" OR "Document Title":"Artificial Intelligence" OR "Document Title":"ML" OR "Document Title":"AI"))</t>
  </si>
  <si>
    <t>https://ieeexplore.ieee.org/search/searchresult.jsp?queryText=((%22Document%20Title%22:%22Coronary%20Artery%20Disease%22%20OR%20%22Document%20Title%22:%22Chronic%20coronary%20disease%22%20OR%20%22Document%20Title%22:%22Coronary%20heart%20disease%22)%20AND%20(%20%22Document%20Title%22:%22Machine%20Learning%22%20OR%20%22Document%20Title%22:%22Artificial%20Intelligence%22%20OR%20%22Document%20Title%22:%22ML%22%20OR%20%22Document%20Title%22:%22AI%22))&amp;highlight=true&amp;returnType=SEARCH&amp;matchPubs=true&amp;ranges=2015_2025_Year&amp;returnFacets=ALL&amp;refinements=ContentType:Conferences&amp;refinements=ContentType:Journals</t>
  </si>
  <si>
    <t>Gulati2022</t>
  </si>
  <si>
    <t>Gangadhar2023</t>
  </si>
  <si>
    <t>Shirazi2023</t>
  </si>
  <si>
    <t>Ramathilagam2024</t>
  </si>
  <si>
    <t>Bharath2024</t>
  </si>
  <si>
    <t>Vadher2024</t>
  </si>
  <si>
    <t>Krishnani2019</t>
  </si>
  <si>
    <t>Basha2023</t>
  </si>
  <si>
    <t>Bemando2021</t>
  </si>
  <si>
    <t>Gaba2021</t>
  </si>
  <si>
    <t>Dewangan2023</t>
  </si>
  <si>
    <t>Dubey2023</t>
  </si>
  <si>
    <t>Kanth2024</t>
  </si>
  <si>
    <t>Labana2023</t>
  </si>
  <si>
    <t>Gowda2024</t>
  </si>
  <si>
    <t>https://pubmed.ncbi.nlm.nih.gov/?term=%28%28%22Coronary+artery+disease%22%5BTitle%5D+OR+%22Coronary+heart+disease%22%5BTitle%5D+OR+%22chronic+coronary+disease%22%5BTitle%5D%29+AND+%28%22Machine+Learning%22%5BTitle%5D+OR+%22Artificial+Intelligence%22%5BTitle%5D+OR+%22ML%22%5BTitle%5D+OR+%22AI%22%5BTitle%5D%29%29&amp;filter=years.2015-2025&amp;show_snippets=off&amp;size=100</t>
  </si>
  <si>
    <t>(("Coronary artery disease"[Title] OR "Coronary heart disease"[Title] OR "chronic coronary disease"[Title]) AND ("Machine Learning"[Title] OR "Artificial Intelligence"[Title] OR "ML"[Title] OR "AI"[Title]))</t>
  </si>
  <si>
    <t>https://dl.acm.org/action/doSearch?fillQuickSearch=false&amp;target=advanced&amp;expand=dl&amp;field1=Title&amp;text1=%28%22Coronary+artery+disease%22+OR+%22Chronic+coronary+disease%22+OR+%22Coronary+heart+disease%22%29+AND+%28%22Artificial+Intelligence%22+OR+%22AI%22+OR+%22Machine+learning%22+OR+%22ML%22%29&amp;AfterMonth=1&amp;AfterYear=2015&amp;BeforeMonth=5&amp;BeforeYear=2025</t>
  </si>
  <si>
    <t>("Coronary artery disease" OR "Chronic coronary disease" OR "Coronary heart disease") AND ("Artificial Intelligence" OR "AI" OR "Machine learning" OR "ML")</t>
  </si>
  <si>
    <t>Best model</t>
  </si>
  <si>
    <t>Not-ML Conference</t>
  </si>
  <si>
    <t>Conference rank&lt;A</t>
  </si>
  <si>
    <t>https://ieeexplore.ieee.org/document/10500702</t>
  </si>
  <si>
    <t>Ansari2025</t>
  </si>
  <si>
    <t>Forrest2023</t>
  </si>
  <si>
    <t>Wang2021</t>
  </si>
  <si>
    <t>Li2023</t>
  </si>
  <si>
    <t>Upton2022</t>
  </si>
  <si>
    <t>Poss2020</t>
  </si>
  <si>
    <t>Ye2023</t>
  </si>
  <si>
    <t>Pezel2025</t>
  </si>
  <si>
    <t>Gautam2022</t>
  </si>
  <si>
    <t>Raparelli2023</t>
  </si>
  <si>
    <t>Kigka2022</t>
  </si>
  <si>
    <t>Chen2022</t>
  </si>
  <si>
    <t>Alizadehsani2021</t>
  </si>
  <si>
    <t>Wang2023</t>
  </si>
  <si>
    <t>Alizadehsani2019</t>
  </si>
  <si>
    <t>Vilne2022</t>
  </si>
  <si>
    <t>Bock2024</t>
  </si>
  <si>
    <t>Chen2024</t>
  </si>
  <si>
    <t>Yeri2018</t>
  </si>
  <si>
    <t>Pyxaras2021</t>
  </si>
  <si>
    <t>Lin2021</t>
  </si>
  <si>
    <t>Ma2024</t>
  </si>
  <si>
    <t>Zhang2024</t>
  </si>
  <si>
    <t>Hampe2019</t>
  </si>
  <si>
    <t>Massussi2023</t>
  </si>
  <si>
    <t>Ainiwaer2023</t>
  </si>
  <si>
    <t>Guo2023</t>
  </si>
  <si>
    <t>Maragna2021</t>
  </si>
  <si>
    <t>Liu2024</t>
  </si>
  <si>
    <t>Monti2020</t>
  </si>
  <si>
    <t>Cicek2024</t>
  </si>
  <si>
    <t>Mirjalili2024</t>
  </si>
  <si>
    <t>Özbilgin2023</t>
  </si>
  <si>
    <t>Amini2023</t>
  </si>
  <si>
    <t>He2022</t>
  </si>
  <si>
    <t>Muhammad2021</t>
  </si>
  <si>
    <t>Petrazzini2024</t>
  </si>
  <si>
    <t>Hayıroğlu2023</t>
  </si>
  <si>
    <t>Saharan2021</t>
  </si>
  <si>
    <t>Yilmaz2023</t>
  </si>
  <si>
    <t>Kübler2024</t>
  </si>
  <si>
    <t>Trigka2023</t>
  </si>
  <si>
    <t>Qi2024</t>
  </si>
  <si>
    <t>Huang2022</t>
  </si>
  <si>
    <t>Lyu2024</t>
  </si>
  <si>
    <t>Alireza2024</t>
  </si>
  <si>
    <t xml:space="preserve">Wang2021  </t>
  </si>
  <si>
    <t xml:space="preserve">Ermak2024  </t>
  </si>
  <si>
    <t xml:space="preserve">Sajid2024  </t>
  </si>
  <si>
    <t xml:space="preserve">Raskin2024  </t>
  </si>
  <si>
    <t xml:space="preserve">Wang2024  </t>
  </si>
  <si>
    <t xml:space="preserve">Infante2021  </t>
  </si>
  <si>
    <t xml:space="preserve">Hu2024  </t>
  </si>
  <si>
    <t xml:space="preserve">Jiang2024  </t>
  </si>
  <si>
    <t xml:space="preserve">Saeedbakhsh2023  </t>
  </si>
  <si>
    <t xml:space="preserve">Johri2022  </t>
  </si>
  <si>
    <t xml:space="preserve">Shimizu2023  </t>
  </si>
  <si>
    <t xml:space="preserve">Jung2021  </t>
  </si>
  <si>
    <t xml:space="preserve">Kumar2023  </t>
  </si>
  <si>
    <t xml:space="preserve">Ahmad2021  </t>
  </si>
  <si>
    <t xml:space="preserve">Doolub2023  </t>
  </si>
  <si>
    <t xml:space="preserve">Zhang2021  </t>
  </si>
  <si>
    <t xml:space="preserve">Bednarek2025  </t>
  </si>
  <si>
    <t xml:space="preserve">Huang2023  </t>
  </si>
  <si>
    <t xml:space="preserve">Sayadi2022  </t>
  </si>
  <si>
    <t xml:space="preserve">Rabbat2021  </t>
  </si>
  <si>
    <t xml:space="preserve">Lee2023  </t>
  </si>
  <si>
    <t xml:space="preserve">Ran2025  </t>
  </si>
  <si>
    <t xml:space="preserve">Zhang2022  </t>
  </si>
  <si>
    <t xml:space="preserve">Zhang2024  </t>
  </si>
  <si>
    <t xml:space="preserve">Panteris2022  </t>
  </si>
  <si>
    <t xml:space="preserve">Hassan2022  </t>
  </si>
  <si>
    <t xml:space="preserve">He2025  </t>
  </si>
  <si>
    <t xml:space="preserve">Akella2021  </t>
  </si>
  <si>
    <t xml:space="preserve">Liu2022  </t>
  </si>
  <si>
    <t xml:space="preserve">Koloi2024  </t>
  </si>
  <si>
    <t xml:space="preserve">Heo2022  </t>
  </si>
  <si>
    <t xml:space="preserve">Jie2022  </t>
  </si>
  <si>
    <t xml:space="preserve">Yip2022  </t>
  </si>
  <si>
    <t xml:space="preserve">Wang2022  </t>
  </si>
  <si>
    <t xml:space="preserve">Kumar2022  </t>
  </si>
  <si>
    <t xml:space="preserve">Naushad2018  </t>
  </si>
  <si>
    <t xml:space="preserve">Li2021  </t>
  </si>
  <si>
    <t xml:space="preserve">Lu2025  </t>
  </si>
  <si>
    <t xml:space="preserve">Ma2023  </t>
  </si>
  <si>
    <t xml:space="preserve">Yadegar2025  </t>
  </si>
  <si>
    <t xml:space="preserve">Hajianfar2025  </t>
  </si>
  <si>
    <t xml:space="preserve">Batra2023  </t>
  </si>
  <si>
    <t>Olmo2025</t>
  </si>
  <si>
    <t>Gibson2025</t>
  </si>
  <si>
    <t>Shapiro2023</t>
  </si>
  <si>
    <t>Bertsimas2020</t>
  </si>
  <si>
    <t>Liu2023</t>
  </si>
  <si>
    <t>Huan2022</t>
  </si>
  <si>
    <t>Cao2022</t>
  </si>
  <si>
    <t>Yu2024</t>
  </si>
  <si>
    <t>Park2024</t>
  </si>
  <si>
    <t>Ling2020</t>
  </si>
  <si>
    <t>Garavand2022</t>
  </si>
  <si>
    <t>Xu2022</t>
  </si>
  <si>
    <t>Erdagli2024</t>
  </si>
  <si>
    <t>Peper2020</t>
  </si>
  <si>
    <t>Mishra2020</t>
  </si>
  <si>
    <t>Otaki2022</t>
  </si>
  <si>
    <t>Song2023</t>
  </si>
  <si>
    <t>Duan2024</t>
  </si>
  <si>
    <t>Lee2022</t>
  </si>
  <si>
    <t>Zhao2025</t>
  </si>
  <si>
    <t>Li2024</t>
  </si>
  <si>
    <t>Kageyama2024</t>
  </si>
  <si>
    <t>Forssen2017</t>
  </si>
  <si>
    <t>Aghayev2022</t>
  </si>
  <si>
    <t>Yeh2024</t>
  </si>
  <si>
    <t>Vu2025</t>
  </si>
  <si>
    <t>Guo2024</t>
  </si>
  <si>
    <t>Baskaran2020</t>
  </si>
  <si>
    <t>Lu2024</t>
  </si>
  <si>
    <t>Berger2025</t>
  </si>
  <si>
    <t>Yamamoto2024</t>
  </si>
  <si>
    <t>Choi2023</t>
  </si>
  <si>
    <t>Wang2019</t>
  </si>
  <si>
    <t>Mansoor2024</t>
  </si>
  <si>
    <t>Johnson2019</t>
  </si>
  <si>
    <t>Gola2020</t>
  </si>
  <si>
    <t>Du2020</t>
  </si>
  <si>
    <t>Thribhuvan2024</t>
  </si>
  <si>
    <t>Mirjalili2023</t>
  </si>
  <si>
    <t>Xiong2023</t>
  </si>
  <si>
    <t>Apostolopoulos2024</t>
  </si>
  <si>
    <t>Butler2024</t>
  </si>
  <si>
    <t>Mittas2022</t>
  </si>
  <si>
    <t>Nous2020</t>
  </si>
  <si>
    <t>Kim2022</t>
  </si>
  <si>
    <t>Ghasemi2024</t>
  </si>
  <si>
    <t>Abdar2019</t>
  </si>
  <si>
    <t>Zellweger2018</t>
  </si>
  <si>
    <t>Minhas2025</t>
  </si>
  <si>
    <t>Kawasaki2020</t>
  </si>
  <si>
    <t>Wang2025</t>
  </si>
  <si>
    <t>Araki2016</t>
  </si>
  <si>
    <t>Rehman2025</t>
  </si>
  <si>
    <t>Qiao2020</t>
  </si>
  <si>
    <t>Orlenko2020</t>
  </si>
  <si>
    <t>Gupta2023</t>
  </si>
  <si>
    <t>Shen2022</t>
  </si>
  <si>
    <t>Ezekwueme2025</t>
  </si>
  <si>
    <t>Beunza2019</t>
  </si>
  <si>
    <t>Bauer2023</t>
  </si>
  <si>
    <t>Hu2024</t>
  </si>
  <si>
    <t>Overmars2021</t>
  </si>
  <si>
    <t>Shen2025</t>
  </si>
  <si>
    <t>Lin2024</t>
  </si>
  <si>
    <t>Eurlings2022</t>
  </si>
  <si>
    <t>Park2023</t>
  </si>
  <si>
    <t>Huang2021</t>
  </si>
  <si>
    <t>Fan2020</t>
  </si>
  <si>
    <t>Jia2025</t>
  </si>
  <si>
    <t>Lui2023</t>
  </si>
  <si>
    <t>Qiao2022</t>
  </si>
  <si>
    <t>Rai2016</t>
  </si>
  <si>
    <t>Ninomiya2023</t>
  </si>
  <si>
    <t>Ji2025</t>
  </si>
  <si>
    <t>Stuckey2018</t>
  </si>
  <si>
    <t>Zhang2022</t>
  </si>
  <si>
    <t>Pattarabanjird2020</t>
  </si>
  <si>
    <t>Ren2022</t>
  </si>
  <si>
    <t>Simon2022</t>
  </si>
  <si>
    <t>Wang2025b</t>
  </si>
  <si>
    <t>Agrawal2021</t>
  </si>
  <si>
    <t>Liu2021</t>
  </si>
  <si>
    <t>Aydar2024</t>
  </si>
  <si>
    <t>Cao2025</t>
  </si>
  <si>
    <t>Li2020</t>
  </si>
  <si>
    <t>Li2025</t>
  </si>
  <si>
    <t>Wang2022</t>
  </si>
  <si>
    <t>Karjalainen2020</t>
  </si>
  <si>
    <t>Marcinkowska2025</t>
  </si>
  <si>
    <t>Hsu2021</t>
  </si>
  <si>
    <t>An2023</t>
  </si>
  <si>
    <t>Motwani2017</t>
  </si>
  <si>
    <t>Geltser2020</t>
  </si>
  <si>
    <t>Cho2022</t>
  </si>
  <si>
    <t>Modi2017</t>
  </si>
  <si>
    <t>Chen2016</t>
  </si>
  <si>
    <t>Fukase2022</t>
  </si>
  <si>
    <t>Hou2024</t>
  </si>
  <si>
    <t>Dogan2018</t>
  </si>
  <si>
    <t>Jin2019</t>
  </si>
  <si>
    <t>Han2018</t>
  </si>
  <si>
    <t>Steele2018</t>
  </si>
  <si>
    <t>Lei2024</t>
  </si>
  <si>
    <t>Kim2025</t>
  </si>
  <si>
    <t>Schwalm2024</t>
  </si>
  <si>
    <t>Ren2025</t>
  </si>
  <si>
    <t>Han2025</t>
  </si>
  <si>
    <t>Zarepour2025</t>
  </si>
  <si>
    <t>Moutzoukis2024</t>
  </si>
  <si>
    <t>Rangraz2023</t>
  </si>
  <si>
    <t>Silva2022</t>
  </si>
  <si>
    <t>Review article</t>
  </si>
  <si>
    <t xml:space="preserve">Dalen2023  </t>
  </si>
  <si>
    <t>Narimani2025</t>
  </si>
  <si>
    <t>Afrisham2024</t>
  </si>
  <si>
    <t>Language</t>
  </si>
  <si>
    <t>Other disease</t>
  </si>
  <si>
    <t>Capelleveen2017</t>
  </si>
  <si>
    <t>Unknown</t>
  </si>
  <si>
    <t>Journal Ranking</t>
  </si>
  <si>
    <t>Gonsalves2019</t>
  </si>
  <si>
    <t>Kokkinidis2023</t>
  </si>
  <si>
    <t>Manduchi2021</t>
  </si>
  <si>
    <t>https://link.springer.com/search?new-search=true&amp;query=&amp;advancedSearch=true&amp;date=custom&amp;dateFrom=2015&amp;dateTo=&amp;title=%28%22Coronary+artery+disease%22+OR+%22Chronic+coronary+disease%22+OR+%22Coronary+heart+disease%22%29+AND+%28%22Artificial+Intelligence%22+OR+%22AI%22+OR+%22Machine+learning%22+OR+%22ML%22%29&amp;sortBy=relevance</t>
  </si>
  <si>
    <t>Raskin2024</t>
  </si>
  <si>
    <t>Hajianfar2025</t>
  </si>
  <si>
    <t>Chen2023</t>
  </si>
  <si>
    <t>Vijayaraj2025</t>
  </si>
  <si>
    <t>Chang2025</t>
  </si>
  <si>
    <t>Išgum2025</t>
  </si>
  <si>
    <t>Mariettou2024</t>
  </si>
  <si>
    <t>Alsafi2024</t>
  </si>
  <si>
    <t>Doradla2024</t>
  </si>
  <si>
    <t>Lu2025</t>
  </si>
  <si>
    <t>Cheng2024</t>
  </si>
  <si>
    <t>Demir2024</t>
  </si>
  <si>
    <t>Lenka2024</t>
  </si>
  <si>
    <t>Venkataramana2025</t>
  </si>
  <si>
    <t>Yadegar2025</t>
  </si>
  <si>
    <t>Tanade2024</t>
  </si>
  <si>
    <t>Anika2024</t>
  </si>
  <si>
    <t>Al-Ssulami2023</t>
  </si>
  <si>
    <t>Ramakrishna2025</t>
  </si>
  <si>
    <t>Lee2023</t>
  </si>
  <si>
    <t>vanDalen2023</t>
  </si>
  <si>
    <t>Guo2022</t>
  </si>
  <si>
    <t>Sreevidya2023</t>
  </si>
  <si>
    <t>Woś2023</t>
  </si>
  <si>
    <t>Muscogiuri2022</t>
  </si>
  <si>
    <t>Singh2021</t>
  </si>
  <si>
    <t>Alsafi2021</t>
  </si>
  <si>
    <t>Zhang2021</t>
  </si>
  <si>
    <t>Dhanamjayulu2022</t>
  </si>
  <si>
    <t>Jinny2020</t>
  </si>
  <si>
    <t>Naushad2018</t>
  </si>
  <si>
    <t>Georga2019</t>
  </si>
  <si>
    <t>Sakellarios2019</t>
  </si>
  <si>
    <t>Han2017</t>
  </si>
  <si>
    <t>Not AI</t>
  </si>
  <si>
    <t>Prasanna2023</t>
  </si>
  <si>
    <t>SHAP</t>
  </si>
  <si>
    <t>XGBoost, RF</t>
  </si>
  <si>
    <t>SMOTE</t>
  </si>
  <si>
    <t>PreProcessing: ANOVA f-test, Chi-squared test, and Mutual Information</t>
  </si>
  <si>
    <t>UCI’s heart disease dataset and Kaggle’s CVD dataset</t>
  </si>
  <si>
    <t>Classification</t>
  </si>
  <si>
    <t>CAD presence</t>
  </si>
  <si>
    <t>article{Omkari2024,
  title = {An Integrated Two-Layered Voting (TLV) Framework for Coronary Artery Disease Prediction Using Machine Learning Classifiers},
  volume = {12},
  ISSN = {2169-3536},
  url = {http://dx.doi.org/10.1109/ACCESS.2024.3389707},
  DOI = {10.1109/access.2024.3389707},
  journal = {IEEE Access},
  publisher = {Institute of Electrical and Electronics Engineers (IEEE)},
  author = {Omkari,  D. Yaso and Shaik,  Kareemulla},
  year = {2024},
  pages = {56275–56290}
}</t>
  </si>
  <si>
    <t>ARTICLE{Jamthikar2022,
  author={Jamthikar, Ankush D. and Gupta, Deep and Mantella, Laura E. and Saba, Luca and Johri, Amer M. and Suri, Jasjit S.},
  journal={IEEE Transactions on Instrumentation and Measurement}, 
  title={Ensemble Machine Learning and Its Validation for Prediction of Coronary Artery Disease and Acute Coronary Syndrome Using Focused Carotid Ultrasound}, 
  year={2022},
  volume={71},
  number={},
  pages={1-10},
  keywords={Ultrasonic imaging;Prediction algorithms;Angiography;Ultrasonic variables measurement;Diseases;Databases;Machine learning algorithms;Acute coronary syndrome (ACS);carotid ultrasound;conventional machine learning (ML);coronary artery disease (CAD);ensemble ML;preventive healthcare},
  doi={10.1109/TIM.2021.3139693}}</t>
  </si>
  <si>
    <t>ARTICLE{Sajid2024,
  author={Sajid, Muhammad and Hassan, Ali and Khan, Dilshad Ahmed and Khan, Shoab Ahmed and Bakhshi, Asim Dilawar and Akram, Muhammad Usman and Babar, Mishal and Hussain, Farhan and Abdul, Wadood},
  journal={IEEE Journal of Biomedical and Health Informatics}, 
  title={AI-CADR: Artificial Intelligence Based Risk Stratification of Coronary Artery Disease Using Novel Non-Invasive Biomarkers}, 
  year={2024},
  volume={28},
  number={12},
  pages={7543-7552},
  keywords={Biomarkers;Angiography;Arteries;Biological system modeling;Risk management;Heart;Coronary artery disease;risk stratification;stenosis percentage;Gensini score;CAD severity},
  doi={10.1109/JBHI.2024.3453911}}</t>
  </si>
  <si>
    <t>https://ieeexplore.ieee.org/document/9666779</t>
  </si>
  <si>
    <t>Na</t>
  </si>
  <si>
    <t>Public Dataset</t>
  </si>
  <si>
    <t>Validation Dataset</t>
  </si>
  <si>
    <t xml:space="preserve">Z-Alizadeh Sani database (303), Kingston Health Sciences Centre(522) </t>
  </si>
  <si>
    <t>Heterogenenous or homogeneous ensemble</t>
  </si>
  <si>
    <t>Multicenter</t>
  </si>
  <si>
    <t>Clinical, CCTA</t>
  </si>
  <si>
    <t>Mortality</t>
  </si>
  <si>
    <t>Feature selections with information gain ranking</t>
  </si>
  <si>
    <t>LogitBoost</t>
  </si>
  <si>
    <t>AUC=0.79</t>
  </si>
  <si>
    <t>Unique</t>
  </si>
  <si>
    <t>Clinical, Lab</t>
  </si>
  <si>
    <t xml:space="preserve">Clinical, Lab, ECG </t>
  </si>
  <si>
    <t>Risk factors</t>
  </si>
  <si>
    <t>article{Zellweger2018,
  title = {A new non-invasive diagnostic tool in coronary artery disease: artificial intelligence as an essential element of predictive,  preventive,  and personalized medicine},
  volume = {9},
  ISSN = {1878-5085},
  url = {http://dx.doi.org/10.1007/s13167-018-0142-x},
  DOI = {10.1007/s13167-018-0142-x},
  number = {3},
  journal = {EPMA Journal},
  publisher = {Springer Science and Business Media LLC},
  author = {Zellweger,  Michael J. and Tsirkin,  Andrew and Vasilchenko,  Vasily and Failer,  Michael and Dressel,  Alexander and Kleber,  Marcus E. and Ruff,  Peter and M\"{a}rz,  Winfried},
  year = {2018},
  month = aug,
  pages = {235–247}
}</t>
  </si>
  <si>
    <t xml:space="preserve"> Ludwigshafen Risk and Cardiovascular Health Study (LURIC)</t>
  </si>
  <si>
    <t>MPA</t>
  </si>
  <si>
    <t>CAD Detection</t>
  </si>
  <si>
    <t>article{Stuckey2018,
  title = {Cardiac Phase Space Tomography: A novel method of assessing coronary artery disease utilizing machine learning},
  volume = {13},
  ISSN = {1932-6203},
  url = {http://dx.doi.org/10.1371/journal.pone.0198603},
  DOI = {10.1371/journal.pone.0198603},
  number = {8},
  journal = {PLOS ONE},
  publisher = {Public Library of Science (PLoS)},
  author = {Stuckey,  Thomas D. and Gammon,  Roger S. and Goswami,  Robi and Depta,  Jeremiah P. and Steuter,  John A. and Meine,  Frederick J. and Roberts,  Michael C. and Singh,  Narendra and Ramchandani,  Shyam and Burton,  Tim and Grouchy,  Paul and Khosousi,  Ali and Shadforth,  Ian and Sanders,  William E.},
  editor = {Tang,  Dalin},
  year = {2018},
  month = aug,
  pages = {e0198603}
}</t>
  </si>
  <si>
    <t>article{Steele2018,
  title = {Machine learning models in electronic health records can outperform conventional survival models for predicting patient mortality in coronary artery disease},
  volume = {13},
  ISSN = {1932-6203},
  url = {http://dx.doi.org/10.1371/journal.pone.0202344},
  DOI = {10.1371/journal.pone.0202344},
  number = {8},
  journal = {PLOS ONE},
  publisher = {Public Library of Science (PLoS)},
  author = {Steele,  Andrew J. and Denaxas,  Spiros C. and Shah,  Anoop D. and Hemingway,  Harry and Luscombe,  Nicholas M.},
  editor = {Singh,  Tiratha Raj},
  year = {2018},
  month = aug,
  pages = {e0202344}
}</t>
  </si>
  <si>
    <t>Cox models, random forests and elastic net regression</t>
  </si>
  <si>
    <t>Elastic net regression</t>
  </si>
  <si>
    <t>Imputation, variable selection using the least MV or logrank test on survival</t>
  </si>
  <si>
    <t>Survival Analysis</t>
  </si>
  <si>
    <t>CALIBER</t>
  </si>
  <si>
    <t>C-index 0.797</t>
  </si>
  <si>
    <t>https://pmc.ncbi.nlm.nih.gov/articles/PMC6118376/</t>
  </si>
  <si>
    <t>article{Wang2019,
  title = {Coronary artery disease associated specific modules and feature genes revealed by integrative methods of WGCNA,  MetaDE and machine learning},
  volume = {710},
  ISSN = {0378-1119},
  url = {http://dx.doi.org/10.1016/j.gene.2019.05.010},
  DOI = {10.1016/j.gene.2019.05.010},
  journal = {Gene},
  publisher = {Elsevier BV},
  author = {Wang,  Yan and Liu,  Tao and Liu,  Yan and Chen,  Jun and Xin,  Benqiang and Wu,  Maoyuan and Cui,  Weigang},
  year = {2019},
  month = aug,
  pages = {122–130}
}</t>
  </si>
  <si>
    <t>https://www.sciencedirect.com/science/article/pii/S037811191930472X?via%3Dihub</t>
  </si>
  <si>
    <t>GSE20681</t>
  </si>
  <si>
    <t>GSE20680 and GSE42148</t>
  </si>
  <si>
    <t>Genetic</t>
  </si>
  <si>
    <t>BioMe Biobank, UK Biobank</t>
  </si>
  <si>
    <t>article{Forrest2023,
  title = {Machine learning-based marker for coronary artery disease: derivation and validation in two longitudinal cohorts},
  volume = {401},
  ISSN = {0140-6736},
  url = {http://dx.doi.org/10.1016/S0140-6736(22)02079-7},
  DOI = {10.1016/s0140-6736(22)02079-7},
  number = {10372},
  journal = {The Lancet},
  publisher = {Elsevier BV},
  author = {Forrest,  Iain S and Petrazzini,  Ben O and Duffy,  Áine and Park,  Joshua K and Marquez-Luna,  Carla and Jordan,  Daniel M and Rocheleau,  Ghislain and Cho,  Judy H and Rosenson,  Robert S and Narula,  Jagat and Nadkarni,  Girish N and Do,  Ron},
  year = {2023},
  month = jan,
  pages = {215–225}
}</t>
  </si>
  <si>
    <t>https://pubmed.ncbi.nlm.nih.gov/36563696/</t>
  </si>
  <si>
    <t>Random Forest</t>
  </si>
  <si>
    <t xml:space="preserve">Feature Selection </t>
  </si>
  <si>
    <t>BioME, Biobank</t>
  </si>
  <si>
    <t>Endpoint</t>
  </si>
  <si>
    <t>AUC 0.79</t>
  </si>
  <si>
    <t>article{Motwani2017,
  author    = {Motwani, M. and Dey, D. and Berman, D. S. and Germano, G. and Achenbach, S. and Al-Mallah, M. H. and Andreini, D. and Budoff, M. J. and Cademartiri, F. and Callister, T. Q. and Chang, H. J. and Chinnaiyan, K. and Chow, B. J. and Cury, R. C. and Delago, A. and Gomez, M. and Gransar, H. and Hadamitzky, M. and Hausleiter, J. and Hindoyan, N. and Feuchtner, G. and Kaufmann, P. A. and Kim, Y. J. and Leipsic, J. and Lin, F. Y. and Maffei, E. and Marques, H. and Pontone, G. and Raff, G. and Rubinshtein, R. and Shaw, L. J. and Stehli, J. and Villines, T. C. and Dunning, A. and Min, J. K. and Slomka, P. J.},
  title     = {Machine learning for prediction of all-cause mortality in patients with suspected coronary artery disease: a 5-year multicentre prospective registry analysis},
  journal   = {European Heart Journal},
  year      = {2017},
  volume    = {38},
  number    = {7},
  pages     = {500--507},
  doi       = {10.1093/eurheartj/ehw188},
  pmid      = {27252451},
  pmcid     = {PMC5897836},
  month     = {Feb},
  day       = {14}
}</t>
  </si>
  <si>
    <t>https://pubmed.ncbi.nlm.nih.gov/30174760/</t>
  </si>
  <si>
    <t>XGBoost</t>
  </si>
  <si>
    <t>article{Wang2021,
  title = {Interpretable prediction of 3-year all-cause mortality in patients with heart failure caused by coronary heart disease based on machine learning and SHAP},
  volume = {137},
  ISSN = {0010-4825},
  url = {http://dx.doi.org/10.1016/j.compbiomed.2021.104813},
  DOI = {10.1016/j.compbiomed.2021.104813},
  journal = {Computers in Biology and Medicine},
  publisher = {Elsevier BV},
  author = {Wang,  Ke and Tian,  Jing and Zheng,  Chu and Yang,  Hong and Ren,  Jia and Liu,  Yanling and Han,  Qinghua and Zhang,  Yanbo},
  year = {2021},
  month = oct,
  pages = {104813}
}</t>
  </si>
  <si>
    <t>https://pubmed.ncbi.nlm.nih.gov/34481185/</t>
  </si>
  <si>
    <t>Clinical, Lab, ECG, Eco</t>
  </si>
  <si>
    <t>LR, SVM, KNN, NB, MLP, XGBoost</t>
  </si>
  <si>
    <t>Encoding, Feature Selection (MV+recursive feature elimination), missForest, normalization, SMOTE</t>
  </si>
  <si>
    <t>AUC 0.8207</t>
  </si>
  <si>
    <t>article{Li2023,
  title = {Development of an interpretable machine learning model associated with heavy metals’ exposure to identify coronary heart disease among US adults via SHAP: Findings of the US NHANES from 2003 to 2018},
  volume = {311},
  ISSN = {0045-6535},
  url = {http://dx.doi.org/10.1016/j.chemosphere.2022.137039},
  DOI = {10.1016/j.chemosphere.2022.137039},
  journal = {Chemosphere},
  publisher = {Elsevier BV},
  author = {Li,  Xi and Zhao,  Yang and Zhang,  Dongdong and Kuang,  Lei and Huang,  Hao and Chen,  Weiling and Fu,  Xueru and Wu,  Yuying and Li,  Tianze and Zhang,  Jinli and Yuan,  Lijun and Hu,  Huifang and Liu,  Yu and Zhang,  Ming and Hu,  Fulan and Sun,  Xizhuo and Hu,  Dongsheng},
  year = {2023},
  month = jan,
  pages = {137039}
}</t>
  </si>
  <si>
    <t>https://www.sciencedirect.com/science/article/abs/pii/S0045653522035329?via%3Dihub</t>
  </si>
  <si>
    <t>RF</t>
  </si>
  <si>
    <t>Risk Factors Identification</t>
  </si>
  <si>
    <t>US NHANES</t>
  </si>
  <si>
    <t>Feature Selection</t>
  </si>
  <si>
    <t>https://www.jacc.org/doi/10.1016/j.jcmg.2021.10.013</t>
  </si>
  <si>
    <t>article{Upton2022,
  title = {Automated Echocardiographic Detection of Severe Coronary Artery Disease Using Artificial Intelligence},
  volume = {15},
  ISSN = {1936-878X},
  url = {http://dx.doi.org/10.1016/j.jcmg.2021.10.013},
  DOI = {10.1016/j.jcmg.2021.10.013},
  number = {5},
  journal = {JACC: Cardiovascular Imaging},
  publisher = {Elsevier BV},
  author = {Upton,  Ross and Mumith,  Angela and Beqiri,  Arian and Parker,  Andrew and Hawkes,  William and Gao,  Shan and Porumb,  Mihaela and Sarwar,  Rizwan and Marques,  Patricia and Markham,  Deborah and Kenworthy,  Jake and O’Driscoll,  Jamie M. and Hassanali,  Neelam and Groves,  Kate and Dockerill,  Cameron and Woodward,  William and Alsharqi,  Maryam and McCourt,  Annabelle and Wilkes,  Edmund H. and Heitner,  Stephen B. and Yadava,  Mrinal and Stojanovski,  David and Lamata,  Pablo and Woodward,  Gary and Leeson,  Paul},
  year = {2022},
  month = may,
  pages = {715–727}
}</t>
  </si>
  <si>
    <t>Automated Feature Extraction</t>
  </si>
  <si>
    <t>Ensemble</t>
  </si>
  <si>
    <t>LR, SVM, RF</t>
  </si>
  <si>
    <t>EVAREST</t>
  </si>
  <si>
    <t>CAD Stratification</t>
  </si>
  <si>
    <t>Clinical, Stress Eco, Angiography</t>
  </si>
  <si>
    <t>article{Poss2020,
  title = {Machine learning reveals serum sphingolipids as cholesterol-independent biomarkers of coronary artery disease},
  volume = {130},
  ISSN = {1558-8238},
  url = {http://dx.doi.org/10.1172/JCI131838},
  DOI = {10.1172/jci131838},
  number = {3},
  journal = {Journal of Clinical Investigation},
  publisher = {American Society for Clinical Investigation},
  author = {Poss,  Annelise M. and Maschek,  J. Alan and Cox,  James E. and Hauner,  Benedikt J. and Hopkins,  Paul N. and Hunt,  Steven C. and Holland,  William L. and Summers,  Scott A. and Playdon,  Mary C.},
  year = {2020},
  month = jan,
  pages = {1363–1376}
}</t>
  </si>
  <si>
    <t>https://pmc.ncbi.nlm.nih.gov/articles/PMC7269567/</t>
  </si>
  <si>
    <t>RF, LASSO regression</t>
  </si>
  <si>
    <t>Risk score with RF- and LASSO obtained features</t>
  </si>
  <si>
    <t>AUC 0.72</t>
  </si>
  <si>
    <t>RF and LASSO regression for feature extraction</t>
  </si>
  <si>
    <t>Risk factor identification</t>
  </si>
  <si>
    <t>article{Pezel2025,
  title = {A Machine Learning Model Using Cardiac CT and MRI Data Predicts                     Cardiovascular Events in Obstructive Coronary Artery Disease},
  volume = {314},
  ISSN = {1527-1315},
  url = {http://dx.doi.org/10.1148/radiol.233030},
  DOI = {10.1148/radiol.233030},
  number = {1},
  journal = {Radiology},
  publisher = {Radiological Society of North America (RSNA)},
  author = {Pezel,  Théo and Toupin,  Solenn and Bousson,  Valérie and Hamzi,  Kenza and Hovasse,  Thomas and Lefevre,  Thierry and Chevalier,  Bernard and Unterseeh,  Thierry and Sanguineti,  Francesca and Champagne,  Stéphane and Benamer,  Hakim and Neylon,  Antoinette and Akodad,  Mariama and Ah-Sing,  Tania and Hamzi,  Lounis and Gon\c{c}alves,  Trecy and Lequipar,  Antoine and Gall,  Emmanuel and Unger,  Alexandre and Dillinger,  Jean Guillaume and Henry,  Patrick and Vignaux,  Olivier and Sirol,  Marc and Garot,  Philippe and Garot,  Jér\^ome},
  year = {2025},
  month = jan 
}</t>
  </si>
  <si>
    <t>https://pubmed.ncbi.nlm.nih.gov/39807980/</t>
  </si>
  <si>
    <t>Jacques Cartier Private Hospital</t>
  </si>
  <si>
    <t xml:space="preserve">Lariboisière Hospital , American Hospital of Paris </t>
  </si>
  <si>
    <t>Clinical, Lab, Eco, CCTA, MRI</t>
  </si>
  <si>
    <t>Feature selection with least absolute shrinkage and selection operator (LASSO) algorithm</t>
  </si>
  <si>
    <t>AUC 0.86, F1 0.54, sensitivity 0.51, specificity 0.94</t>
  </si>
  <si>
    <t>Events Prediction (Major Adverse Cardiovascular Events)</t>
  </si>
  <si>
    <t>article{Raparelli2023,
  title = {A machine-learning based bio-psycho-social model for the prediction of non-obstructive and obstructive coronary artery disease},
  volume = {112},
  ISSN = {1861-0692},
  url = {http://dx.doi.org/10.1007/s00392-023-02193-5},
  DOI = {10.1007/s00392-023-02193-5},
  number = {9},
  journal = {Clinical Research in Cardiology},
  publisher = {Springer Science and Business Media LLC},
  author = {Raparelli,  Valeria and Romiti,  Giulio Francesco and Di Teodoro,  Giulia and Seccia,  Ruggiero and Tanzilli,  Gaetano and Viceconte,  Nicola and Marrapodi,  Ramona and Flego,  Davide and Corica,  Bernadette and Cangemi,  Roberto and Pilote,  Louise and Basili,  Stefania and Proietti,  Marco and Palagi,  Laura and Stefanini,  Lucia and Tiberti,  Claudio and Panimolle,  Federica and Isidori,  Andrea and Giannetta,  Elisa and Venneri,  Mary Anna and Napoleone,  Laura and Novo,  Marta and Quattrino,  Silvia and Ceccarelli,  Simona and Anastasiadou,  Eleni and Megiorni,  Francesca and Marchese,  Cinzia and Mangieri,  Enrico and Tanzilli,  Gaetano and Viceconte,  Nicola and Barillà,  Francesco and Gaudio,  Carlo and Paravati,  Vincenzo and Tellan,  Guglielmo and Ettorre,  Evaristo and Servello,  Adriana and Miraldi,  Fabio and Moretti,  Andrea and Tanzilli,  Alessandra and Mazzonna,  Piergiovanni and Al Kindy,  Suleyman and Iorio,  Riccardo and Di Iorio,  Martina and Petriello,  Gennaro and Gioffrè,  Laura and Indolfi,  Eleonora and Pero,  Gaetano and Cocco,  Nino and Iannetta,  Loredana and Giannuzzi,  Sara and Centaro,  Emilio and Sergi,  Sonia Cristina and Pignatelli,  Pasquale and Amoroso,  Daria and Bartimoccia,  Simona and Minisola,  Salvatore and Morelli,  Sergio and Fraioli,  Antonio and Nocchi,  Silvia and Fontana,  Mario and Toriello,  Filippo and Ruscio,  Eleonora and Todisco,  Tommaso and Sperduti,  Nicolò and Santangelo,  Giuseppe and Visioli,  Giacomo and Vano,  Marco and Borgi,  Marco and Antonini,  Ludovica Maria and Robuffo,  Silvia and Tucci,  Claudia and Rossoni,  Agostino and Spugnardi,  Valeria and Vernile,  Annarita and Santoliquido,  Mariateresa and Santori,  Verdiana and Tosti,  Giulia and Recchia,  Fabrizio and Morricone,  Francesco and Scacciavillani,  Roberto and Lipari,  Alice and Zito,  Andrea and Testa,  Floriana and Ricci,  Giulia and Vellucci,  Ilaria and Vincenti,  Marianna and Pietropaolo,  Silvia and Scala,  Camilla and Rubini,  Nicolò and Tomassi,  Marta and Rozzi,  Gloria and Santomenna,  Floriana and Cantelmi,  Claudio and Costanzo,  Giacomo and Rumbolà,  Lucas and Giarrizzo,  Salvatore and Sapia,  Carlotta and Scotti,  Biagio and Talerico,  Giovanni and Toni,  Danilo and Falcou,  Anne and Pilote,  Louise and Kaur,  Amanpreet and Behlouli,  Hassan and Vestri,  Anna Rita and Ferroni,  Patrizia and Crescioli,  Clara and Antinozzi,  Cristina and Pignataro,  Francesca Serena and Bellini,  Tiziana and Zuliani,  Giovanni and Passaro,  Angelina and Gloria,  Brombo and Cutini,  Andrea and Capatti,  Eleonora and Dalla Nora,  Edoardo and Di Vece,  Francesca and D’Amuri,  Andrea and Romagnoli,  Tommaso and Polastri,  Michele and Violi,  Alessandra and Fortunato,  Valeria and Bella,  Alessandro and Greco,  Salvatore and Spaggiari,  Riccardo and Scaglione,  Gerarda and Di Vincenzo,  Alessandra and Manfredini,  Roberto and De Giorgi,  Alfredo and Carnevale,  Roberto and Nocella,  Cristina and Catalano,  Carlo and Carbone,  Iacopo and Galea,  Nicola and Suppa,  Marianna and Rosa,  Antonello and Galardo,  Gioacchino and Alessandroni,  Maria and Coppola,  Alessandro and Palladino,  Mariangela and Illuminati,  Giulio and Consorti,  Fabrizio and Mariani,  Paola and Neri,  Fabrizio and Salis,  Paolo and Segatori,  Antonio and Tellini,  Laurent and Costabile,  Gianluca},
  year = {2023},
  month = apr,
  pages = {1263–1277}
}</t>
  </si>
  <si>
    <t>https://pmc.ncbi.nlm.nih.gov/articles/PMC10449670/</t>
  </si>
  <si>
    <t>Acc 0.82, Precision 0.87</t>
  </si>
  <si>
    <t>LR, SVM, RF, XGBoost</t>
  </si>
  <si>
    <t>EVA Project</t>
  </si>
  <si>
    <t>Patient selection based on MV, SMOTE</t>
  </si>
  <si>
    <t>article{Bock2024,
  title = {Enhancing the diagnosis of functionally relevant coronary artery disease with machine learning},
  volume = {15},
  ISSN = {2041-1723},
  url = {http://dx.doi.org/10.1038/s41467-024-49390-y},
  DOI = {10.1038/s41467-024-49390-y},
  number = {1},
  journal = {Nature Communications},
  publisher = {Springer Science and Business Media LLC},
  author = {Bock,  Christian and Walter,  Joan Elias and Rieck,  Bastian and Strebel,  Ivo and Rumora,  Klara and Schaefer,  Ibrahim and Zellweger,  Michael J. and Borgwardt,  Karsten and M\"{u}ller,  Christian},
  year = {2024},
  month = jun 
}</t>
  </si>
  <si>
    <t>https://pmc.ncbi.nlm.nih.gov/articles/PMC11169272/</t>
  </si>
  <si>
    <t xml:space="preserve">Clinical, ECG </t>
  </si>
  <si>
    <t xml:space="preserve"> Assuta Medical Center and Sheba Medical
Center </t>
  </si>
  <si>
    <t>AUC 0.74</t>
  </si>
  <si>
    <t>Signal smoothing and outlier removal</t>
  </si>
  <si>
    <t>Model combination</t>
  </si>
  <si>
    <t>article{Ma2024,
  title = {Predicting coronary heart disease in Chinese diabetics using machine learning},
  volume = {169},
  ISSN = {0010-4825},
  url = {http://dx.doi.org/10.1016/j.compbiomed.2024.107952},
  DOI = {10.1016/j.compbiomed.2024.107952},
  journal = {Computers in Biology and Medicine},
  publisher = {Elsevier BV},
  author = {Ma,  Cai-Yi and Luo,  Ya-Mei and Zhang,  Tian-Yu and Hao,  Yu-Duo and Xie,  Xue-Qin and Liu,  Xiao-Wei and Ren,  Xiao-Lei and He,  Xiao-Lin and Han,  Yu-Mei and Deng,  Ke-Jun and Yan,  Dan and Yang,  Hui and Tang,  Hua and Lin,  Hao},
  year = {2024},
  month = feb,
  pages = {107952}
}</t>
  </si>
  <si>
    <t>https://pubmed.ncbi.nlm.nih.gov/38194779/</t>
  </si>
  <si>
    <t>LR, RF, XGBoost</t>
  </si>
  <si>
    <t>Combination of ML+cardiologist</t>
  </si>
  <si>
    <t>https://bmcmedinformdecismak.biomedcentral.com/articles/10.1186/s12911-024-02620-1</t>
  </si>
  <si>
    <t>LR</t>
  </si>
  <si>
    <t>Automatic extraction</t>
  </si>
  <si>
    <t>Kubler2024</t>
  </si>
  <si>
    <t>https://pubmed.ncbi.nlm.nih.gov/39373817/</t>
  </si>
  <si>
    <t>article{Mirjalili2024,
  title = {Which surrogate insulin resistance indices best predict coronary artery disease? A machine learning approach},
  volume = {23},
  ISSN = {1475-2840},
  url = {http://dx.doi.org/10.1186/s12933-024-02306-y},
  DOI = {10.1186/s12933-024-02306-y},
  number = {1},
  journal = {Cardiovascular Diabetology},
  publisher = {Springer Science and Business Media LLC},
  author = {Mirjalili,  Seyed Reza and Soltani,  Sepideh and Meybodi,  Zahra Heidari and Marques-Vidal,  Pedro and Firouzabadi,  Danial Dehghani and Eshraghi,  Reza and Restrepo,  David and Ghoshouni,  Hamed and Sarebanhassanabadi,  Mohammadtaghi},
  year = {2024},
  month = jun 
}</t>
  </si>
  <si>
    <t>https://pubmed.ncbi.nlm.nih.gov/38907271/</t>
  </si>
  <si>
    <t>LASSO, RF feature selection, Boruta algorithm</t>
  </si>
  <si>
    <t>ceteris paribus profile on the Random Forest model</t>
  </si>
  <si>
    <t>Yazd Healthy Heart Project</t>
  </si>
  <si>
    <t>https://pmc.ncbi.nlm.nih.gov/articles/PMC10493219/</t>
  </si>
  <si>
    <t>article{Amini2023,
  title = {Machine learning-based diagnosis and risk classification of coronary artery disease using myocardial perfusion imaging SPECT: A radiomics study},
  volume = {13},
  ISSN = {2045-2322},
  url = {http://dx.doi.org/10.1038/s41598-023-42142-w},
  DOI = {10.1038/s41598-023-42142-w},
  number = {1},
  journal = {Scientific Reports},
  publisher = {Springer Science and Business Media LLC},
  author = {Amini,  Mehdi and Pursamimi,  Mohamad and Hajianfar,  Ghasem and Salimi,  Yazdan and Saberi,  Abdollah and Mehri-Kakavand,  Ghazal and Nazari,  Mostafa and Ghorbani,  Mahdi and Shalbaf,  Ahmad and Shiri,  Isaac and Zaidi,  Habib},
  year = {2023},
  month = sep 
}</t>
  </si>
  <si>
    <t>Clinical, SPECT</t>
  </si>
  <si>
    <t>Image segmentation, feature extraction, Feature selection with RF-RFE, Boruta, MRMR</t>
  </si>
  <si>
    <t>RFE-KNN for rest, mRMR-KNN for stress, Boruta-RF for delta feature set</t>
  </si>
  <si>
    <t>CAD detection and severity assessment</t>
  </si>
  <si>
    <t>article{He2022,
  title = {Hemorrhagic risk prediction in coronary artery disease patients based on photoplethysmography and machine learning},
  volume = {12},
  ISSN = {2045-2322},
  url = {http://dx.doi.org/10.1038/s41598-022-22719-7},
  DOI = {10.1038/s41598-022-22719-7},
  number = {1},
  journal = {Scientific Reports},
  publisher = {Springer Science and Business Media LLC},
  author = {He,  Zhengling and Zhang,  Huajun and Chen,  Xianxiang and Shi,  Junshan and Bai,  Lu and Fang,  Zhen and Wang,  Rong},
  year = {2022},
  month = nov 
}</t>
  </si>
  <si>
    <t>https://pmc.ncbi.nlm.nih.gov/articles/PMC9649686/</t>
  </si>
  <si>
    <t>PPG</t>
  </si>
  <si>
    <t>AUC  0.762, sensitivity 0.679, specificity 0.714</t>
  </si>
  <si>
    <t>Risk of bleeding with antitrombosis</t>
  </si>
  <si>
    <t>article{Petrazzini2024,
  title = {Exome sequence analysis identifies rare coding variants associated with a machine learning-based marker for coronary artery disease},
  volume = {56},
  ISSN = {1546-1718},
  url = {http://dx.doi.org/10.1038/s41588-024-01791-x},
  DOI = {10.1038/s41588-024-01791-x},
  number = {7},
  journal = {Nature Genetics},
  publisher = {Springer Science and Business Media LLC},
  author = {Petrazzini,  Ben Omega and Forrest,  Iain S. and Rocheleau,  Ghislain and Vy,  Ha My T. and Márquez-Luna,  Carla and Duffy,  Áine and Chen,  Robert and Park,  Joshua K. and Gibson,  Kyle and Goonewardena,  Sascha N. and Malick,  Waqas A. and Rosenson,  Robert S. and Jordan,  Daniel M. and Do,  Ron},
  year = {2024},
  month = jun,
  pages = {1412–1419}
}</t>
  </si>
  <si>
    <t>https://pubmed.ncbi.nlm.nih.gov/38862854/</t>
  </si>
  <si>
    <t>Clinical, Genetic</t>
  </si>
  <si>
    <t>UK Biobank, All of Us Research Program, BioMe Biobank</t>
  </si>
  <si>
    <t>Genetic risk factors detection</t>
  </si>
  <si>
    <t>Feature selection with Boruta</t>
  </si>
  <si>
    <t>article{Saharan2021,
  title = {Machine learning and statistical approaches for classification of risk of coronary artery disease using plasma cytokines},
  volume = {14},
  ISSN = {1756-0381},
  url = {http://dx.doi.org/10.1186/s13040-021-00260-z},
  DOI = {10.1186/s13040-021-00260-z},
  number = {1},
  journal = {BioData Mining},
  publisher = {Springer Science and Business Media LLC},
  author = {Saharan,  Seema Singh and Nagar,  Pankaj and Creasy,  Kate Townsend and Stock,  Eveline O. and Feng,  James and Malloy,  Mary J. and Kane,  John P.},
  year = {2021},
  month = apr 
}</t>
  </si>
  <si>
    <t>https://pmc.ncbi.nlm.nih.gov/articles/PMC8050889/</t>
  </si>
  <si>
    <t xml:space="preserve">Normalization, outlier removal, </t>
  </si>
  <si>
    <t>KNN, RF</t>
  </si>
  <si>
    <t xml:space="preserve">AUC 0.99, Acc 0.96, Sensitivity 0.95, Specificity 0.97 </t>
  </si>
  <si>
    <t>article{Yilmaz2023,
  title = {Machine Learning Approach on High Risk Treadmill Exercise Test to Predict Obstructive Coronary Artery Disease by using P,  QRS,  and T waves’ Features},
  volume = {48},
  ISSN = {0146-2806},
  url = {http://dx.doi.org/10.1016/j.cpcardiol.2022.101482},
  DOI = {10.1016/j.cpcardiol.2022.101482},
  number = {2},
  journal = {Current Problems in Cardiology},
  publisher = {Elsevier BV},
  author = {Yilmaz,  Abdurrahim and Hayıroğlu,  Mert İlker and Salturk,  Serkan and Pay,  Levent and Demircali,  Ali Anil and Coşkun,  Cahit and Varol,  Rahmetullah and Tezen,  Ozan and Eren,  Semih and undefinedetin,  Tuğba and Tekkeşin,  Ahmet İlker and Uvet,  Huseyin},
  year = {2023},
  month = feb,
  pages = {101482}
}</t>
  </si>
  <si>
    <t>https://pubmed.ncbi.nlm.nih.gov/36336117/</t>
  </si>
  <si>
    <t>Time-series</t>
  </si>
  <si>
    <t>Stress ECG</t>
  </si>
  <si>
    <t>article{Trigka2023,
  title = {Long-Term Coronary Artery Disease Risk Prediction with Machine Learning Models},
  volume = {23},
  ISSN = {1424-8220},
  url = {http://dx.doi.org/10.3390/s23031193},
  DOI = {10.3390/s23031193},
  number = {3},
  journal = {Sensors},
  publisher = {MDPI AG},
  author = {Trigka,  Maria and Dritsas,  Elias},
  year = {2023},
  month = jan,
  pages = {1193}
}</t>
  </si>
  <si>
    <t>https://www.sciencedirect.com/science/article/abs/pii/S0146280622003796?via%3Dihub</t>
  </si>
  <si>
    <t>Acc 0.81, AUC 0.78</t>
  </si>
  <si>
    <t>KNN, XGBoost, SVM, MLP, GP</t>
  </si>
  <si>
    <t>SMOTE, RF for feature selection</t>
  </si>
  <si>
    <t>LR, NB, J48 (tree-based), Bagging, RF, Rotation forest, voting, stacking, MLP, KNN</t>
  </si>
  <si>
    <t>Stacking</t>
  </si>
  <si>
    <t>Acc 0.91, precision 0.97, recall 0.88, AUC 0.96.</t>
  </si>
  <si>
    <t>article{Huang2022,
  title = {Using a machine learning-based risk prediction model to analyze the coronary artery calcification score and predict coronary heart disease and risk assessment},
  volume = {151},
  ISSN = {0010-4825},
  url = {http://dx.doi.org/10.1016/j.compbiomed.2022.106297},
  DOI = {10.1016/j.compbiomed.2022.106297},
  journal = {Computers in Biology and Medicine},
  publisher = {Elsevier BV},
  author = {Huang,  Yue and Ren,  YingBo and Yang,  Hai and Ding,  YiJie and Liu,  Yan and Yang,  YunChun and Mao,  AnQiong and Yang,  Tan and Wang,  YingZi and Xiao,  Feng and He,  QiZhou and Zhang,  Ying},
  year = {2022},
  month = dec,
  pages = {106297}
}</t>
  </si>
  <si>
    <t>https://pubmed.ncbi.nlm.nih.gov/36435054/</t>
  </si>
  <si>
    <t>article{Lyu2024,
  title = {Classification of coronary artery disease using radial artery pulse wave analysis via machine learning},
  volume = {24},
  ISSN = {1472-6947},
  url = {http://dx.doi.org/10.1186/s12911-024-02666-1},
  DOI = {10.1186/s12911-024-02666-1},
  number = {1},
  journal = {BMC Medical Informatics and Decision Making},
  publisher = {Springer Science and Business Media LLC},
  author = {Lyu,  Yi and Wu,  Hai-Mei and Yan,  Hai-Xia and Guo,  Rui and Xiong,  Yu-Jie and Chen,  Rui and Huang,  Wen-Yue and Hong,  Jing and Lyu,  Rong and Wang,  Yi-Qin and Xu,  Jin},
  year = {2024},
  month = sep 
}</t>
  </si>
  <si>
    <t>https://pubmed.ncbi.nlm.nih.gov/39285363/</t>
  </si>
  <si>
    <t>DT, RF, GBC, Extra trees, XGBoost, LightGM, CatBoost</t>
  </si>
  <si>
    <t xml:space="preserve">Normalization </t>
  </si>
  <si>
    <t>Feature importance</t>
  </si>
  <si>
    <t>Extra Trees Classifier</t>
  </si>
  <si>
    <t>0.8519 accuracy, 0.9151 AUC, 0.8424 recall, 0.8598 precision, 0.851 F1-score, 0.777 kappa, 0.7814 MCC</t>
  </si>
  <si>
    <t xml:space="preserve">NA </t>
  </si>
  <si>
    <t>Pulse wave</t>
  </si>
  <si>
    <t>article{Alireza2024,
  title = {Enhancing prediction accuracy of coronary artery disease through machine learning-driven genomic variant selection},
  volume = {22},
  ISSN = {1479-5876},
  url = {http://dx.doi.org/10.1186/s12967-024-05090-1},
  DOI = {10.1186/s12967-024-05090-1},
  number = {1},
  journal = {Journal of Translational Medicine},
  publisher = {Springer Science and Business Media LLC},
  author = {Alireza,  Z. and Maleeha,  M. and Kaikkonen,  M. and Fortino,  V.},
  year = {2024},
  month = apr 
}</t>
  </si>
  <si>
    <t>https://pubmed.ncbi.nlm.nih.gov/38627847/</t>
  </si>
  <si>
    <t>UK Biobank</t>
  </si>
  <si>
    <t>Feature importance, mRMR</t>
  </si>
  <si>
    <t>Clinical, Lab, Genetic</t>
  </si>
  <si>
    <t>https://pubmed.ncbi.nlm.nih.gov/33634169/</t>
  </si>
  <si>
    <t>AUC 0.944, sensitivity 0.895, specificity 0.858, PPV 0.932, NPV 0.823</t>
  </si>
  <si>
    <t>Feature selection with least absolute shrinkage and LASSO</t>
  </si>
  <si>
    <t>SVM, Decision Trees, RF</t>
  </si>
  <si>
    <t>article{Ermak2024,
  title = {Development,  evaluation and validation of machine learning models to predict hospitalizations of patients with coronary artery disease within the next 12 months},
  volume = {188},
  ISSN = {1386-5056},
  url = {http://dx.doi.org/10.1016/j.ijmedinf.2024.105476},
  DOI = {10.1016/j.ijmedinf.2024.105476},
  journal = {International Journal of Medical Informatics},
  publisher = {Elsevier BV},
  author = {Ermak,  Andrey D. and Gavrilov,  Denis V. and Novitskiy,  Roman E. and Gusev,  Alexander V. and Andreychenko,  Anna E.},
  year = {2024},
  month = aug,
  pages = {105476}
}</t>
  </si>
  <si>
    <t>https://pubmed.ncbi.nlm.nih.gov/38743996/</t>
  </si>
  <si>
    <t>CatBoost</t>
  </si>
  <si>
    <t>AUC 0.872</t>
  </si>
  <si>
    <t>1 subregion of the original dataset</t>
  </si>
  <si>
    <t>Feature selection using SHAP</t>
  </si>
  <si>
    <t>LR, AdaBoost, LightGBM, XGBoost, CatBoost, RandomForest , ExtraTrees, Discriminant analysis (Linear and Qaudratic), Gaussian NB</t>
  </si>
  <si>
    <t xml:space="preserve">Clinical </t>
  </si>
  <si>
    <t>Hospitalization prediction</t>
  </si>
  <si>
    <t>RF, XGBoost</t>
  </si>
  <si>
    <t>GSE180081, GSE12288</t>
  </si>
  <si>
    <t>GSE180081,  GSE12288</t>
  </si>
  <si>
    <t>article{Jiang2024,
  title = {Identification of diagnostic biomarkers and immune cell infiltration in coronary artery disease by machine learning,  nomogram,  and molecular docking},
  volume = {15},
  ISSN = {1664-3224},
  url = {http://dx.doi.org/10.3389/fimmu.2024.1368904},
  DOI = {10.3389/fimmu.2024.1368904},
  journal = {Frontiers in Immunology},
  publisher = {Frontiers Media SA},
  author = {Jiang,  Xinyi and Luo,  Yuanxi and Li,  Zeshi and Zhang,  He and Xu,  Zhenjun and Wang,  Dongjin},
  year = {2024},
  month = apr 
}</t>
  </si>
  <si>
    <t>https://pmc.ncbi.nlm.nih.gov/articles/PMC11018948/</t>
  </si>
  <si>
    <t>article{Johri2022,
  title = {Deep learning artificial intelligence framework for multiclass coronary artery disease prediction using combination of conventional risk factors,  carotid ultrasound,  and intraplaque neovascularization},
  volume = {150},
  ISSN = {0010-4825},
  url = {http://dx.doi.org/10.1016/j.compbiomed.2022.106018},
  DOI = {10.1016/j.compbiomed.2022.106018},
  journal = {Computers in Biology and Medicine},
  publisher = {Elsevier BV},
  author = {Johri,  Amer M. and Singh,  Krishna V. and Mantella,  Laura E. and Saba,  Luca and Sharma,  Aditya and Laird,  John R. and Utkarsh,  Kumar and Singh,  Inder M. and Gupta,  Suneet and Kalra,  Manudeep S. and Suri,  Jasjit S.},
  year = {2022},
  month = nov,
  pages = {106018}
}</t>
  </si>
  <si>
    <t>https://www.sciencedirect.com/science/article/pii/S0010482522007405?via%3Dihub</t>
  </si>
  <si>
    <t xml:space="preserve">heart data from Cleveland Clinic Foundation and (ii) diabetes data set taken from the University of California at Irvine (UCI) repository. </t>
  </si>
  <si>
    <t>SMOTE, normalization, feature selection with PCA</t>
  </si>
  <si>
    <t>Validation Data M&amp;R</t>
  </si>
  <si>
    <t>LSTM</t>
  </si>
  <si>
    <t>Acc 0.95, AUC 0.99</t>
  </si>
  <si>
    <t>RNN, LSTM, SVM, RF</t>
  </si>
  <si>
    <t>article{Jung2021,
  title = {Purine metabolite-based machine learning models for risk prediction,  prognosis,  and diagnosis of coronary artery disease},
  volume = {139},
  ISSN = {0753-3322},
  url = {http://dx.doi.org/10.1016/j.biopha.2021.111621},
  DOI = {10.1016/j.biopha.2021.111621},
  journal = {Biomedicine &amp;amp; Pharmacotherapy},
  publisher = {Elsevier BV},
  author = {Jung,  Sunhee and Ahn,  Eunyong and Koh,  Sang Baek and Lee,  Sang-Hak and Hwang,  Geum-Sook},
  year = {2021},
  month = jul,
  pages = {111621}
}</t>
  </si>
  <si>
    <t>https://pubmed.ncbi.nlm.nih.gov/34243599/</t>
  </si>
  <si>
    <t>Classification, Survival Analysis</t>
  </si>
  <si>
    <t>Wonju and Pyeongchang (WP) population-based cohort study, Shinchon (SC) case cohort study, and Shinchon (SC) case control study</t>
  </si>
  <si>
    <t>Stratification based on risk</t>
  </si>
  <si>
    <t>CAD detection, CAD prognosis, Survival analysis, Risk factor identification</t>
  </si>
  <si>
    <t>AUC 0.7</t>
  </si>
  <si>
    <t>Logistic Regression-based feature selection</t>
  </si>
  <si>
    <t>LR with 5 features</t>
  </si>
  <si>
    <t>article{Ahmad2021,
  title = {Machine learning aids clinical decision-making in patients presenting with angina and non-obstructive coronary artery disease},
  volume = {2},
  ISSN = {2634-3916},
  url = {http://dx.doi.org/10.1093/ehjdh/ztab084},
  DOI = {10.1093/ehjdh/ztab084},
  number = {4},
  journal = {European Heart Journal - Digital Health},
  publisher = {Oxford University Press (OUP)},
  author = {Ahmad,  Ali and Shelly-Cohen,  Michal and Corban,  Michel T and Murphree Jr,  Dennis H and Toya,  Takumi and Sara,  Jaskanwal D and Ozcan,  Ilke and Lerman,  Lilach O and Friedman,  Paul A and Attia,  Zachi I and Lerman,  Amir},
  year = {2021},
  month = oct,
  pages = {597–605}
}</t>
  </si>
  <si>
    <t>https://pmc.ncbi.nlm.nih.gov/articles/PMC9707870/</t>
  </si>
  <si>
    <t>Clinical, Lab, ECG</t>
  </si>
  <si>
    <t>The final fully connected layer the tabular data were concatenated with the features extracted by the convolutional blocks from the ECG waveform</t>
  </si>
  <si>
    <t>LR with tabular data</t>
  </si>
  <si>
    <t>AUC 0.67, Acc 0.6, Sens 0.7, Spec 0.56, PPV 0.35, NPV 0.85</t>
  </si>
  <si>
    <t>Coronary microvascular dysfunction detection (Coronary blood flow  obtained from angiography)</t>
  </si>
  <si>
    <t>article{Wang2024,
  title = {Machine learning-based prediction of composite risk of cardiovascular events in patients with stable angina pectoris combined with coronary heart disease: development and validation of a clinical prediction model for Chinese patients},
  volume = {14},
  ISSN = {1663-9812},
  url = {http://dx.doi.org/10.3389/fphar.2023.1334439},
  DOI = {10.3389/fphar.2023.1334439},
  journal = {Frontiers in Pharmacology},
  publisher = {Frontiers Media SA},
  author = {Wang,  Zihan and Sun,  Ziyi and Yu,  Linghua and Wang,  Zhitian and Li,  Lin and Lu,  Xiaoyan},
  year = {2024},
  month = jan 
}</t>
  </si>
  <si>
    <t>https://pmc.ncbi.nlm.nih.gov/articles/PMC10806135/</t>
  </si>
  <si>
    <t>https://pmc.ncbi.nlm.nih.gov/articles/PMC8962407/</t>
  </si>
  <si>
    <t>ECG</t>
  </si>
  <si>
    <t>Tabular, Time-series</t>
  </si>
  <si>
    <t>Image</t>
  </si>
  <si>
    <t>CNN (Inception V3)</t>
  </si>
  <si>
    <t>Acc 0.90, Precision 0.90 , Recall 0.90</t>
  </si>
  <si>
    <t>Background removal, figure cropping</t>
  </si>
  <si>
    <t>article{Zhang2021,
  title = {Ensemble machine learning approach for screening of coronary heart disease based on echocardiography and risk factors},
  volume = {21},
  ISSN = {1472-6947},
  url = {http://dx.doi.org/10.1186/s12911-021-01535-5},
  DOI = {10.1186/s12911-021-01535-5},
  number = {1},
  journal = {BMC Medical Informatics and Decision Making},
  publisher = {Springer Science and Business Media LLC},
  author = {Zhang,  Jingyi and Zhu,  Huolan and Chen,  Yongkai and Yang,  Chenguang and Cheng,  Huimin and Li,  Yi and Zhong,  Wenxuan and Wang,  Fang},
  year = {2021},
  month = jun 
}</t>
  </si>
  <si>
    <t>https://pmc.ncbi.nlm.nih.gov/articles/PMC8196502/</t>
  </si>
  <si>
    <t>Clinical, Eco</t>
  </si>
  <si>
    <t>Two-step stacking (14 models)</t>
  </si>
  <si>
    <t xml:space="preserve">Acc 0.88, AUC 0.90 </t>
  </si>
  <si>
    <t>CAD detection, CAD localization</t>
  </si>
  <si>
    <t>https://pubmed.ncbi.nlm.nih.gov/37058460/</t>
  </si>
  <si>
    <t>article{Huang2023,
  title = {Use of machine learning to identify risk factors for coronary artery disease},
  volume = {18},
  ISSN = {1932-6203},
  url = {http://dx.doi.org/10.1371/journal.pone.0284103},
  DOI = {10.1371/journal.pone.0284103},
  number = {4},
  journal = {PLOS ONE},
  publisher = {Public Library of Science (PLoS)},
  author = {Huang,  Alexander A. and Huang,  Samuel Y.},
  editor = {McGrowder,  Donovan Anthony},
  year = {2023},
  month = apr,
  pages = {e0284103}
}</t>
  </si>
  <si>
    <t>National Health and Nutrition Examination Survey (NHANES)</t>
  </si>
  <si>
    <t>Gain Cover and Frequency, SHAP</t>
  </si>
  <si>
    <t xml:space="preserve">XGBoost, Gain Cover and Frequency </t>
  </si>
  <si>
    <t>AUC 0.89</t>
  </si>
  <si>
    <t>PCA</t>
  </si>
  <si>
    <t>Feature selection by univariate analysis</t>
  </si>
  <si>
    <t>article{Sayadi2022,
  title = {A Machine Learning Model for Detection of Coronary Artery Disease Using Noninvasive Clinical Parameters},
  volume = {12},
  ISSN = {2075-1729},
  url = {http://dx.doi.org/10.3390/life12111933},
  DOI = {10.3390/life12111933},
  number = {11},
  journal = {Life},
  publisher = {MDPI AG},
  author = {Sayadi,  Mohammadjavad and Varadarajan,  Vijayakumar and Sadoughi,  Farahnaz and Chopannejad,  Sara and Langarizadeh,  Mostafa},
  year = {2022},
  month = nov,
  pages = {1933}
}</t>
  </si>
  <si>
    <t>https://pubmed.ncbi.nlm.nih.gov/36431068/</t>
  </si>
  <si>
    <t>Feature selection with Pearson correlation</t>
  </si>
  <si>
    <t>Z-Alizadeh Sani</t>
  </si>
  <si>
    <t>LR and SVM</t>
  </si>
  <si>
    <t>Clinical, Lab, Eco, ECG</t>
  </si>
  <si>
    <t>article{Chang2025,
  title = {Identification of hub biomarkers in coronary artery disease patients using machine learning and bioinformatic analyses},
  volume = {15},
  ISSN = {2045-2322},
  url = {http://dx.doi.org/10.1038/s41598-025-02123-7},
  DOI = {10.1038/s41598-025-02123-7},
  number = {1},
  journal = {Scientific Reports},
  publisher = {Springer Science and Business Media LLC},
  author = {Chang,  Xindi and Tao,  Liyu and Tian,  Lulu and Zhao,  Yingli and Niku,  Wangkang and Zheng,  Wang and Liu,  Ping and Wang,  Yiru},
  year = {2025},
  month = may 
}</t>
  </si>
  <si>
    <t>https://link.springer.com/article/10.1038/s41598-025-02123-7</t>
  </si>
  <si>
    <t>LASSO, RF, SVM</t>
  </si>
  <si>
    <t>Feature selection</t>
  </si>
  <si>
    <t>GSE9820, GSE10195, GSE18608, GSE20686,
GSE42148, GSE98583, GSE66360, and GSE60993</t>
  </si>
  <si>
    <t>Normalization, PCA</t>
  </si>
  <si>
    <t>GSE61144</t>
  </si>
  <si>
    <t>https://link.springer.com/article/10.1186/s13040-021-00260-z</t>
  </si>
  <si>
    <t>AUC 0.99</t>
  </si>
  <si>
    <t>Lab</t>
  </si>
  <si>
    <t>ROSE, data augmentation, normalization, outlier removal</t>
  </si>
  <si>
    <t>article{AlSsulami2023,
  title = {Improving Coronary Heart Disease Prediction Through Machine Learning and an Innovative Data Augmentation Technique},
  volume = {15},
  ISSN = {1866-9964},
  url = {http://dx.doi.org/10.1007/s12559-023-10151-6},
  DOI = {10.1007/s12559-023-10151-6},
  number = {5},
  journal = {Cognitive Computation},
  publisher = {Springer Science and Business Media LLC},
  author = {Al-Ssulami,  Abdulrakeeb M. and Alsorori,  Randh S. and Azmi,  Aqil M. and Aboalsamh,  Hatim},
  year = {2023},
  month = may,
  pages = {1687–1702}
}</t>
  </si>
  <si>
    <t>https://link.springer.com/article/10.1007/s12559-023-10151-6</t>
  </si>
  <si>
    <t>k-NN, RF, DT, SVM, GNB, Adaboost</t>
  </si>
  <si>
    <t>Data agumentation with duplication of misclassified examples</t>
  </si>
  <si>
    <t>Different in different augmented datasets</t>
  </si>
  <si>
    <t xml:space="preserve">UCI-1190-11 (Combination of Cleveland,
Hungarian, Switzerland, Long Beach VA, and Statlog) </t>
  </si>
  <si>
    <t>https://pubmed.ncbi.nlm.nih.gov/37537293/</t>
  </si>
  <si>
    <t>article{Lee2023,
  title = {Machine learning approaches that use clinical,  laboratory,  and electrocardiogram data enhance the prediction of obstructive coronary artery disease},
  volume = {13},
  ISSN = {2045-2322},
  url = {http://dx.doi.org/10.1038/s41598-023-39911-y},
  DOI = {10.1038/s41598-023-39911-y},
  number = {1},
  journal = {Scientific Reports},
  publisher = {Springer Science and Business Media LLC},
  author = {Lee,  Hyun-Gyu and Park,  Sang-Don and Bae,  Jang-Whan and Moon,  SungJoon and Jung,  Chai Young and Kim,  Mi-Sook and Kim,  Tae-Hun and Lee,  Won Kyung},
  year = {2023},
  month = aug 
}</t>
  </si>
  <si>
    <t>Ensemble of two models: one tabular, one ECG</t>
  </si>
  <si>
    <t>Ensemble with soft voting</t>
  </si>
  <si>
    <t>AUC 0.767, Sensitivity 0.76, Specificity 0.62, Precision 0.64, NPV 0.75, F1 0.70</t>
  </si>
  <si>
    <t xml:space="preserve">Elimination of feats with &gt;30% MV, </t>
  </si>
  <si>
    <t>http://pubmed.ncbi.nlm.nih.gov/39240939/</t>
  </si>
  <si>
    <t xml:space="preserve">SHAP </t>
  </si>
  <si>
    <t>AUC 0.98</t>
  </si>
  <si>
    <t>Classification, Feature Selection</t>
  </si>
  <si>
    <t xml:space="preserve">Univariate analysis and the Boruta algorithm were applied for feature selection, outlier removal, </t>
  </si>
  <si>
    <t>https://pubmed.ncbi.nlm.nih.gov/36236325/</t>
  </si>
  <si>
    <t>article{Hassan2022,
  title = {Effectively Predicting the Presence of Coronary Heart Disease Using Machine Learning Classifiers},
  volume = {22},
  ISSN = {1424-8220},
  url = {http://dx.doi.org/10.3390/s22197227},
  DOI = {10.3390/s22197227},
  number = {19},
  journal = {Sensors},
  publisher = {MDPI AG},
  author = {Hassan,  Ch. Anwar ul and Iqbal,  Jawaid and Irfan,  Rizwana and Hussain,  Saddam and Algarni,  Abeer D. and Bukhari,  Syed Sabir Hussain and Alturki,  Nazik and Ullah,  Syed Sajid},
  year = {2022},
  month = sep,
  pages = {7227}
}</t>
  </si>
  <si>
    <t>CAD detection, Risk factor identification</t>
  </si>
  <si>
    <t>LR, NB, SVM, RF, XGBoost, DT, NN, KNN, Gradient Boosting Tree, Radial basis function, MLP</t>
  </si>
  <si>
    <t>Acc 0.96, precision 0.96, recall 0.95, F1 0.97, AUC 0.95</t>
  </si>
  <si>
    <t>UCI Repository</t>
  </si>
  <si>
    <t>Lee2023b</t>
  </si>
  <si>
    <t>article{Lee2023b,
  title = {Improving detection of obstructive coronary artery disease with an artificial intelligence-enabled electrocardiogram algorithm},
  volume = {381},
  ISSN = {0021-9150},
  url = {http://dx.doi.org/10.1016/j.atherosclerosis.2023.117238},
  DOI = {10.1016/j.atherosclerosis.2023.117238},
  journal = {Atherosclerosis},
  publisher = {Elsevier BV},
  author = {Lee,  Yin-Hao and Hsieh,  Ming-Tsung and Chang,  Chun-Chin and Tsai,  Yi-Lin and Chou,  Ruey-Hsing and Lu,  Henry Hong-Shing and Huang,  Po-Hsun},
  year = {2023},
  month = sep,
  pages = {117238}
}</t>
  </si>
  <si>
    <t>https://pubmed.ncbi.nlm.nih.gov/37607462/</t>
  </si>
  <si>
    <t>Clinical, ECG</t>
  </si>
  <si>
    <t>Non-medical</t>
  </si>
  <si>
    <t>article{Liu2024,
  title = {Predictive model and risk analysis for coronary heart disease in people living with HIV using machine learning},
  volume = {24},
  ISSN = {1472-6947},
  url = {http://dx.doi.org/10.1186/s12911-024-02511-5},
  DOI = {10.1186/s12911-024-02511-5},
  number = {1},
  journal = {BMC Medical Informatics and Decision Making},
  publisher = {Springer Science and Business Media LLC},
  author = {Liu,  Zengjing and Meng,  Zhihao and Wei,  Di and Qin,  Yuan and Lv,  Yu and Xie,  Luman and Qiu,  Hong and Xie,  Bo and Li,  Lanxiang and Wei,  Xihua and Zhang,  Die and Liang,  Boying and Li,  Wen and Qin,  Shanfang and Yan,  Tengyue and Meng,  Qiuxia and Wei,  Huilin and Jiang,  Guiyang and Su,  Lingsong and Jiang,  Nili and Zhang,  Kai and Lv,  Jiannan and Hu,  Yanling},
  year = {2024},
  month = apr 
}</t>
  </si>
  <si>
    <t>https://pubmed.ncbi.nlm.nih.gov/38664736/</t>
  </si>
  <si>
    <t>LightGBM, SVM, XGBoost, AdaBoost, decision tree, MLP, logistic regression</t>
  </si>
  <si>
    <t>LightGM</t>
  </si>
  <si>
    <t>Imputation</t>
  </si>
  <si>
    <t>AUC 0.85, Recall 0.72, Specificity 0.86, Acc 0.76, F1 0.24,  PPV 0.14, NPV 0.99</t>
  </si>
  <si>
    <t>Jiang2022</t>
  </si>
  <si>
    <t>article{Jiang2022,
  title = {Prediction of coronary heart disease in gout patients using machine learning models},
  volume = {20},
  ISSN = {1551-0018},
  url = {http://dx.doi.org/10.3934/mbe.2023212},
  DOI = {10.3934/mbe.2023212},
  number = {3},
  journal = {Mathematical Biosciences and Engineering},
  publisher = {American Institute of Mathematical Sciences (AIMS)},
  author = {Jiang,  Lili and Chen,  Sirong and Wu,  Yuanhui and Zhou,  Da and Duan,  Lihua},
  year = {2022},
  pages = {4574–4591}
}</t>
  </si>
  <si>
    <t>https://pubmed.ncbi.nlm.nih.gov/36896513/</t>
  </si>
  <si>
    <t>LR, DT ,  RF, XGBoost, LightGBM, GBDT, SVM, NN</t>
  </si>
  <si>
    <t>Acc 0.80, AUC 0.81, Recall 0.83</t>
  </si>
  <si>
    <t>article{Hu2024,
  title = {Machine learning reveals serum myristic acid,  palmitic acid and heptanoylcarnitine as biomarkers of coronary artery disease risk in patients with type 2 diabetes mellitus},
  volume = {556},
  ISSN = {0009-8981},
  url = {http://dx.doi.org/10.1016/j.cca.2024.117852},
  DOI = {10.1016/j.cca.2024.117852},
  journal = {Clinica Chimica Acta},
  publisher = {Elsevier BV},
  author = {Hu,  Ting and Zhang,  Wen and Han,  Feifei and Zhao,  Rui and Liu,  Hongchuan and An,  Zhuoling},
  year = {2024},
  month = mar,
  pages = {117852}
}</t>
  </si>
  <si>
    <t>https://pubmed.ncbi.nlm.nih.gov/38438006/</t>
  </si>
  <si>
    <t>NN</t>
  </si>
  <si>
    <t>Feature selection using AUC</t>
  </si>
  <si>
    <t xml:space="preserve">SouzaSilva2022  </t>
  </si>
  <si>
    <t>article{deSouzaeSilva2022,
  title = {Prediction of Mortality in Coronary Artery Disease: Role of Machine Learning and Maximal Exercise Capacity},
  volume = {97},
  ISSN = {0025-6196},
  url = {http://dx.doi.org/10.1016/j.mayocp.2022.01.016},
  DOI = {10.1016/j.mayocp.2022.01.016},
  number = {8},
  journal = {Mayo Clinic Proceedings},
  publisher = {Elsevier BV},
  author = {de Souza e Silva,  Christina G. and Buginga,  Gabriel C. and de Souza e Silva,  Edmundo A. and Arena,  Ross and Rouleau,  Codie R. and Aggarwal,  Sandeep and Wilton,  Stephen B. and Austford,  Leslie and Hauer,  Trina and Myers,  Jonathan},
  year = {2022},
  month = aug,
  pages = {1472–1482}
}</t>
  </si>
  <si>
    <t>https://www.sciencedirect.com/science/article/abs/pii/S0025619622000465?via%3Dihub</t>
  </si>
  <si>
    <t>Mortality prediction</t>
  </si>
  <si>
    <t>Prognosis</t>
  </si>
  <si>
    <t>C-index  0.729</t>
  </si>
  <si>
    <t>Survival Trees</t>
  </si>
  <si>
    <t xml:space="preserve">Huang2022b  </t>
  </si>
  <si>
    <t>article{Huang2022b,
  title = {An Artificial Intelligence-Enabled ECG Algorithm for the Prediction and Localization of Angiography-Proven Coronary Artery Disease},
  volume = {10},
  ISSN = {2227-9059},
  url = {http://dx.doi.org/10.3390/biomedicines10020394},
  DOI = {10.3390/biomedicines10020394},
  number = {2},
  journal = {Biomedicines},
  publisher = {MDPI AG},
  author = {Huang,  Pang-Shuo and Tseng,  Yu-Heng and Tsai,  Chin-Feng and Chen,  Jien-Jiun and Yang,  Shao-Chi and Chiu,  Fu-Chun and Chen,  Zheng-Wei and Hwang,  Juey-Jen and Chuang,  Eric Y. and Wang,  Yi-Chih and Tsai,  Chia-Ti},
  year = {2022},
  month = feb,
  pages = {394}
}</t>
  </si>
  <si>
    <t xml:space="preserve">Huang2022c  </t>
  </si>
  <si>
    <t>article{Huang2022c,
  title = {SERS spectroscopy with machine learning to analyze human plasma derived sEVs for coronary artery disease diagnosis and prognosis},
  volume = {8},
  ISSN = {2380-6761},
  url = {http://dx.doi.org/10.1002/btm2.10420},
  DOI = {10.1002/btm2.10420},
  number = {2},
  journal = {Bioengineering &amp;amp; Translational Medicine},
  publisher = {Wiley},
  author = {Huang,  Xi and Liu,  Bo and Guo,  Shenghan and Guo,  Weihong and Liao,  Ke and Hu,  Guoku and Shi,  Wen and Kuss,  Mitchell and Duryee,  Michael J. and Anderson,  Daniel R. and Lu,  Yongfeng and Duan,  Bin},
  year = {2022},
  month = oct 
}</t>
  </si>
  <si>
    <t>https://pmc.ncbi.nlm.nih.gov/articles/PMC10013764/</t>
  </si>
  <si>
    <t>Discriminant analysis, KNN, ANN, SVM,  XGBoost</t>
  </si>
  <si>
    <t>SVM</t>
  </si>
  <si>
    <t>Sensitivity 0.97, Specificity 0.95</t>
  </si>
  <si>
    <t>https://pmc.ncbi.nlm.nih.gov/articles/PMC9204796/</t>
  </si>
  <si>
    <t>article{Liu2022,
  title = {A machine learning model in predicting hemodynamically significant coronary artery disease: A prospective cohort study},
  volume = {3},
  ISSN = {2666-6936},
  url = {http://dx.doi.org/10.1016/j.cvdhj.2022.02.002},
  DOI = {10.1016/j.cvdhj.2022.02.002},
  number = {3},
  journal = {Cardiovascular Digital Health Journal},
  publisher = {Elsevier BV},
  author = {Liu,  Yan and Ren,  Haoxing and Fanous,  Hanna and Dai,  Xuming and Wolf,  Hope M. and Wade,  Tyrone C. and Ramm,  Cassandra J. and Stouffer,  George A.},
  year = {2022},
  month = jun,
  pages = {112–117}
}</t>
  </si>
  <si>
    <t>Clinical</t>
  </si>
  <si>
    <t>Sensitivity 0.81, Specificity 0.61</t>
  </si>
  <si>
    <t>https://pubmed.ncbi.nlm.nih.gov/39318697/</t>
  </si>
  <si>
    <t>article{Koloi2024,
  title = {Predicting early-stage coronary artery disease using machine learning and routine clinical biomarkers improved by augmented virtual data},
  volume = {5},
  ISSN = {2634-3916},
  url = {http://dx.doi.org/10.1093/ehjdh/ztae049},
  DOI = {10.1093/ehjdh/ztae049},
  number = {5},
  journal = {European Heart Journal - Digital Health},
  publisher = {Oxford University Press (OUP)},
  author = {Koloi,  Angela and Loukas,  Vasileios S and Hourican,  Cillian and Sakellarios,  Antonis I and Quax,  Rick and Mishra,  Pashupati P and Lehtim\"{a}ki,  Terho and Raitakari,  Olli T and Papaloukas,  Costas and Bosch,  Jos A and M\"{a}rz,  Winfried and Fotiadis,  Dimitrios I},
  year = {2024},
  month = aug,
  pages = {542–550}
}</t>
  </si>
  <si>
    <t>RF, GB</t>
  </si>
  <si>
    <t>Imputation,  Isolation Forest and Local Outlier Factor, Feature selection with Pearson correlation and  Information Gain and Mutual Information and χ2 tests, Synthetic data generation (Tabular Preset and Copulas (encompassing Gaussian Copula and Copula Generative Adversarial Network) and Deep Learning–driven models like Conditional Tabular Generative Adversarial Network and Tabular Variational Autoencoder -based deep learning model)</t>
  </si>
  <si>
    <t>GB with augmented data</t>
  </si>
  <si>
    <t>Acc 0.8, Sensitiviy 0.87, Specificity 0.74, AUC 0.87, Precision 0.82</t>
  </si>
  <si>
    <t>https://pubmed.ncbi.nlm.nih.gov/35470135/</t>
  </si>
  <si>
    <t>article{Heo2022,
  title = {Prediction of Hidden Coronary Artery Disease Using Machine Learning in Patients With Acute Ischemic Stroke},
  volume = {99},
  ISSN = {1526-632X},
  url = {http://dx.doi.org/10.1212/WNL.0000000000200576},
  DOI = {10.1212/wnl.0000000000200576},
  number = {1},
  journal = {Neurology},
  publisher = {Ovid Technologies (Wolters Kluwer Health)},
  author = {Heo,  JoonNyung and Yoo,  Joonsang and Lee,  Hyungwoo and Lee,  Il Hyung and Kim,  Jung-Sun and Park,  Eunjeong and Kim,  Young Dae and Nam,  Hyo Suk},
  year = {2022},
  month = jul 
}</t>
  </si>
  <si>
    <t>article{Yip2022,
  title = {ReDisX,  a machine learning approach,  rationalizes rheumatoid arthritis and coronary artery disease patients uniquely upon identifying subpopulation differentiation markers from their genomic data},
  volume = {9},
  ISSN = {2296-858X},
  url = {http://dx.doi.org/10.3389/fmed.2022.931860},
  DOI = {10.3389/fmed.2022.931860},
  journal = {Frontiers in Medicine},
  publisher = {Frontiers Media SA},
  author = {Yip,  Hiu F. and Chowdhury,  Debajyoti and Wang,  Kexin and Liu,  Yujie and Gao,  Yao and Lan,  Liang and Zheng,  Chaochao and Guan,  Daogang and Lam,  Kei F. and Zhu,  Hailong and Tai,  Xuecheng and Lu,  Aiping},
  year = {2022},
  month = aug 
}</t>
  </si>
  <si>
    <t>https://pubmed.ncbi.nlm.nih.gov/36072953/</t>
  </si>
  <si>
    <t xml:space="preserve"> GSE93272, GSE59867</t>
  </si>
  <si>
    <t>GSE15573, GSE77298, GSE23561</t>
  </si>
  <si>
    <t>Clustering</t>
  </si>
  <si>
    <t>Hierarchical clustering, Continuous max-flow model</t>
  </si>
  <si>
    <t xml:space="preserve">Removal of High Variance Genes, PCA and t-SNE for vizualization </t>
  </si>
  <si>
    <t>article{Li2021,
  title = {Machine learning-aided risk stratification system for the prediction of coronary artery disease},
  volume = {326},
  ISSN = {0167-5273},
  url = {http://dx.doi.org/10.1016/j.ijcard.2020.09.070},
  DOI = {10.1016/j.ijcard.2020.09.070},
  journal = {International Journal of Cardiology},
  publisher = {Elsevier BV},
  author = {Li,  Dan and Xiong,  Guanglian and Zeng,  Hesong and Zhou,  Qiang and Jiang,  Jiangang and Guo,  Xiaomei},
  year = {2021},
  month = mar,
  pages = {30–34}
}</t>
  </si>
  <si>
    <t>https://www.sciencedirect.com/science/article/pii/S0167527320339000?via%3Dihub</t>
  </si>
  <si>
    <t>AUC 0.75</t>
  </si>
  <si>
    <t>Feature Selection with logistic regression</t>
  </si>
  <si>
    <t>article{Lu2025,
  title = {Identification of biomarkers associated with coronary artery disease and non-alcoholic fatty liver disease by bioinformatics analysis and machine learning},
  volume = {15},
  ISSN = {2045-2322},
  url = {http://dx.doi.org/10.1038/s41598-025-87923-7},
  DOI = {10.1038/s41598-025-87923-7},
  number = {1},
  journal = {Scientific Reports},
  publisher = {Springer Science and Business Media LLC},
  author = {Lu,  Chuan and Han,  Mei and Ma,  Qiqi and Ying,  Li and Zhang,  Yue},
  year = {2025},
  month = jan 
}</t>
  </si>
  <si>
    <t>https://pubmed.ncbi.nlm.nih.gov/39875572/</t>
  </si>
  <si>
    <t xml:space="preserve"> GSE113079, GSE42148 </t>
  </si>
  <si>
    <t>LASSO, SVM-Recursive Feature Ellimination, RF</t>
  </si>
  <si>
    <t>LR, GB, RT, NN, NB</t>
  </si>
  <si>
    <t>Subpopulation identification, Genetic risk factors detection</t>
  </si>
  <si>
    <t>https://pubmed.ncbi.nlm.nih.gov/37781710/</t>
  </si>
  <si>
    <t>article{Ma2023,
  title = {The effect of Shengmai injection in patients with coronary heart disease in real world and its personalized medicine research using machine learning techniques},
  volume = {14},
  ISSN = {1663-9812},
  url = {http://dx.doi.org/10.3389/fphar.2023.1208621},
  DOI = {10.3389/fphar.2023.1208621},
  journal = {Frontiers in Pharmacology},
  publisher = {Frontiers Media SA},
  author = {Ma,  Jing and Yu,  Ze and Chen,  Ting and Li,  Ping and Liu,  Yan and Chen,  Jihui and Lyu,  Chunming and Hao,  Xin and Zhang,  Jinyuan and Wang,  Shuang and Gao,  Fei and Zhang,  Jian and Bu,  Shuhong},
  year = {2023},
  month = sep 
}</t>
  </si>
  <si>
    <t>article{Yadegar2025,
  title = {Surrogate markers of insulin resistance and coronary artery disease in type 2 diabetes: U-shaped TyG association and insights from machine learning integration},
  volume = {24},
  ISSN = {1476-511X},
  url = {http://dx.doi.org/10.1186/s12944-025-02526-5},
  DOI = {10.1186/s12944-025-02526-5},
  number = {1},
  journal = {Lipids in Health and Disease},
  publisher = {Springer Science and Business Media LLC},
  author = {Yadegar,  Amirhossein and Mohammadi,  Fatemeh and Seifouri,  Kiana and Mokhtarpour,  Kiavash and Yadegar,  Sepideh and Bahrami Hazaveh,  Ehsan and Seyedi,  Seyed Arsalan and Rabizadeh,  Soghra and Esteghamati,  Alireza and Nakhjavani,  Manouchehr},
  year = {2025},
  month = mar 
}</t>
  </si>
  <si>
    <t>https://pubmed.ncbi.nlm.nih.gov/40089748/</t>
  </si>
  <si>
    <t>LR, RF, XGBoost, LightGBM, SVM, (all with combinations of insulin resistance indices)</t>
  </si>
  <si>
    <t>article{Hajianfar2025,
  title = {Artificial intelligence-powered coronary artery disease diagnosis from SPECT myocardial perfusion imaging: a comprehensive deep learning study},
  volume = {52},
  ISSN = {1619-7089},
  url = {http://dx.doi.org/10.1007/s00259-025-07145-x},
  DOI = {10.1007/s00259-025-07145-x},
  number = {8},
  journal = {European Journal of Nuclear Medicine and Molecular Imaging},
  publisher = {Springer Science and Business Media LLC},
  author = {Hajianfar,  Ghasem and Gharibi,  Omid and Sabouri,  Maziar and Mohebi,  Mobin and Amini,  Mehdi and Yasemi,  Mohammad Javad and Chehreghani,  Mohammad and Maghsudi,  Mehdi and Mansouri,  Zahra and Edalat-Javid,  Mohammad and Valavi,  Setareh and Bitarafan Rajabi,  Ahmad and Salimi,  Yazdan and Arabi,  Hossein and Rahmim,  Arman and Shiri,  Isaac and Zaidi,  Habib},
  year = {2025},
  month = feb,
  pages = {3019–3035}
}</t>
  </si>
  <si>
    <t>https://pubmed.ncbi.nlm.nih.gov/39976703/</t>
  </si>
  <si>
    <t>Tabular, Image</t>
  </si>
  <si>
    <t>Data augmentation with image rotation,</t>
  </si>
  <si>
    <t>Concatenation of clinical features into the last layer of the model</t>
  </si>
  <si>
    <t>Strategy 5 WoAug ResNet152V2 EarlyFusion</t>
  </si>
  <si>
    <t>AUC 0.77</t>
  </si>
  <si>
    <t>article{Olmo2025,
  title = {A machine learning algorithm for the identification elevated Lp(a) in patients with,  or high-risk of having,  coronary heart disease},
  volume = {418},
  ISSN = {0167-5273},
  url = {http://dx.doi.org/10.1016/j.ijcard.2024.132612},
  DOI = {10.1016/j.ijcard.2024.132612},
  journal = {International Journal of Cardiology},
  publisher = {Elsevier BV},
  author = {Olmo,  Rosa Fernández and Cortez,  Gustavo and Toro,  Miriam Martin and Sandín,  Miriam and Mora,  Javier and Oterino,  Armando and Bailen,  Magdalena Carrillo and Quiles-Granado,  Juan and Urbiola,  Pedro and Ruz,  Leopoldo Fernández and Cordero,  Alberto},
  year = {2025},
  month = jan,
  pages = {132612}
}</t>
  </si>
  <si>
    <t>https://pubmed.ncbi.nlm.nih.gov/39366561/</t>
  </si>
  <si>
    <t xml:space="preserve">Clustering </t>
  </si>
  <si>
    <t xml:space="preserve">Subpopulation identification </t>
  </si>
  <si>
    <t>article{Gibson2025,
  title = {Evaluation of a machine learning-based metabolic marker for coronary artery disease in the UK Biobank},
  volume = {401},
  ISSN = {0021-9150},
  url = {http://dx.doi.org/10.1016/j.atherosclerosis.2024.119103},
  DOI = {10.1016/j.atherosclerosis.2024.119103},
  journal = {Atherosclerosis},
  publisher = {Elsevier BV},
  author = {Gibson,  Kyle and Forrest,  Iain S. and Petrazzini,  Ben O. and Duffy,  Áine and Park,  Joshua K. and Malick,  Waqas and Rosenson,  Robert S. and Rocheleau,  Ghislain and Jordan,  Daniel M. and Do,  Ron},
  year = {2025},
  month = feb,
  pages = {119103}
}</t>
  </si>
  <si>
    <t>https://pubmed.ncbi.nlm.nih.gov/39799755/</t>
  </si>
  <si>
    <t>article{Shapiro2023,
  title = {Evolutionary Action–Machine Learning Model Identifies Candidate Genes Associated With Early‐Onset Coronary Artery Disease},
  volume = {12},
  ISSN = {2047-9980},
  url = {http://dx.doi.org/10.1161/JAHA.122.029103},
  DOI = {10.1161/jaha.122.029103},
  number = {17},
  journal = {Journal of the American Heart Association},
  publisher = {Ovid Technologies (Wolters Kluwer Health)},
  author = {Shapiro,  Dillon and Lee,  Kwanghyuk and Asmussen,  Jennifer and Bourquard,  Thomas and Lichtarge,  Olivier},
  year = {2023},
  month = sep 
}</t>
  </si>
  <si>
    <t>https://pubmed.ncbi.nlm.nih.gov/37642027/</t>
  </si>
  <si>
    <t>ATVB, OHS, PROCARDIS</t>
  </si>
  <si>
    <t>Outlier removal, Graph information diffusion for gene relations</t>
  </si>
  <si>
    <t xml:space="preserve">PART,  JRip, MLP, NB, LR, KNN, DT, RF, J48, Adaboost, followed by odds ratio </t>
  </si>
  <si>
    <t>Odds ratio</t>
  </si>
  <si>
    <t>article{Bertsimas2020,
  title = {Personalized treatment for coronary artery disease patients: a machine learning approach},
  volume = {23},
  ISSN = {1572-9389},
  url = {http://dx.doi.org/10.1007/s10729-020-09522-4},
  DOI = {10.1007/s10729-020-09522-4},
  number = {4},
  journal = {Health Care Management Science},
  publisher = {Springer Science and Business Media LLC},
  author = {Bertsimas,  Dimitris and Orfanoudaki,  Agni and Weiner,  Rory B.},
  year = {2020},
  month = oct,
  pages = {482–506}
}</t>
  </si>
  <si>
    <t>https://link.springer.com/article/10.1007/s10729-020-09522-4</t>
  </si>
  <si>
    <t>(BMC partnership provided the data)</t>
  </si>
  <si>
    <t>Removal of features with &gt;50% MV, Imputation with Opt.cv</t>
  </si>
  <si>
    <t>Vizualization of the OCT model</t>
  </si>
  <si>
    <t>Classification, Regression</t>
  </si>
  <si>
    <t>Treatment guidance</t>
  </si>
  <si>
    <t xml:space="preserve"> LR, RF,  Boosted Trees, CART, and Optimal Classification Trees (OCT), Multiple modle agreement for treatment guidance</t>
  </si>
  <si>
    <t>Clinical, Treatment</t>
  </si>
  <si>
    <t>Results depend on each treatment option (see table 6)</t>
  </si>
  <si>
    <t>https://pubmed.ncbi.nlm.nih.gov/35103067/</t>
  </si>
  <si>
    <t>article{Cao2022,
  title = {Study on the risk of coronary heart disease in middle-aged and young people based on machine learning methods: a retrospective cohort study},
  volume = {10},
  ISSN = {2167-8359},
  url = {http://dx.doi.org/10.7717/peerj.14078},
  DOI = {10.7717/peerj.14078},
  journal = {PeerJ},
  publisher = {PeerJ},
  author = {Cao,  Jiaoyu and Zhang,  Lixiang and Ma,  Likun and Zhou,  Xiaojuan and Yang,  Beibei and Wang,  Wenjing},
  year = {2022},
  month = nov,
  pages = {e14078}
}</t>
  </si>
  <si>
    <t>https://pubmed.ncbi.nlm.nih.gov/36389421/</t>
  </si>
  <si>
    <t>LR, RF, NN, XGBoost</t>
  </si>
  <si>
    <t>AUC 0.94, F1 0.887</t>
  </si>
  <si>
    <t>article{Park2024,
  title = {Artificial intelligence–enhanced electrocardiography analysis as a promising tool for predicting obstructive coronary artery disease in patients with stable angina},
  volume = {5},
  ISSN = {2634-3916},
  url = {http://dx.doi.org/10.1093/ehjdh/ztae038},
  DOI = {10.1093/ehjdh/ztae038},
  number = {4},
  journal = {European Heart Journal - Digital Health},
  publisher = {Oxford University Press (OUP)},
  author = {Park,  Jiesuck and Kim,  Joonghee and Kang,  Si-Hyuck and Lee,  Jina and Hong,  Youngtaek and Chang,  Hyuk-Jae and Cho,  Youngjin and Yoon,  Yeonyee E},
  year = {2024},
  month = may,
  pages = {444–453}
}</t>
  </si>
  <si>
    <t>https://pubmed.ncbi.nlm.nih.gov/39081950/</t>
  </si>
  <si>
    <t>Conversion of ECG to image</t>
  </si>
  <si>
    <t>Integration of Ecg and clinical features</t>
  </si>
  <si>
    <t>AUC 0.76</t>
  </si>
  <si>
    <t>Combination of the results of two models</t>
  </si>
  <si>
    <t>article{Wang2023,
  title = {Predictive value of machine learning algorithm of coronary artery calcium score and clinical factors for obstructive coronary artery disease in hypertensive patients},
  volume = {23},
  ISSN = {1472-6947},
  url = {http://dx.doi.org/10.1186/s12911-023-02352-8},
  DOI = {10.1186/s12911-023-02352-8},
  number = {1},
  journal = {BMC Medical Informatics and Decision Making},
  publisher = {Springer Science and Business Media LLC},
  author = {Wang,  Minxian and Sun,  Mengting and Yu,  Yao and Li,  Xinsheng and Ren,  Yongkui and Yin,  Da},
  year = {2023},
  month = oct 
}</t>
  </si>
  <si>
    <t>http://pubmed.ncbi.nlm.nih.gov/37904123/</t>
  </si>
  <si>
    <t>LR, RF, SVM, XGBoost, NN</t>
  </si>
  <si>
    <t>Hand-extraction</t>
  </si>
  <si>
    <t>article{Mishra2020,
  title = {Association of Machine Learning–Derived Phenogroupings of Echocardiographic Variables with Heart Failure in Stable Coronary Artery Disease: The Heart and Soul Study},
  volume = {33},
  ISSN = {0894-7317},
  url = {http://dx.doi.org/10.1016/j.echo.2019.09.010},
  DOI = {10.1016/j.echo.2019.09.010},
  number = {3},
  journal = {Journal of the American Society of Echocardiography},
  publisher = {Elsevier BV},
  author = {Mishra,  Rakesh K. and Tison,  Geoffrey H. and Fang,  Qizhi and Scherzer,  Rebecca and Whooley,  Mary A. and Schiller,  Nelson B.},
  year = {2020},
  month = mar,
  pages = {322--331.e1}
}</t>
  </si>
  <si>
    <t>https://pubmed.ncbi.nlm.nih.gov/31948711/</t>
  </si>
  <si>
    <t>Eco</t>
  </si>
  <si>
    <t>Hand-extraction, Imputation</t>
  </si>
  <si>
    <t>Bayesian Information Criterion (BIC) to determine the number of clusters</t>
  </si>
  <si>
    <t>article{Otaki2022,
  title = {Clinical Deployment of Explainable Artificial Intelligence of SPECT for Diagnosis of Coronary Artery Disease},
  volume = {15},
  ISSN = {1936-878X},
  url = {http://dx.doi.org/10.1016/j.jcmg.2021.04.030},
  DOI = {10.1016/j.jcmg.2021.04.030},
  number = {6},
  journal = {JACC: Cardiovascular Imaging},
  publisher = {Elsevier BV},
  author = {Otaki,  Yuka and Singh,  Ananya and Kavanagh,  Paul and Miller,  Robert J.H. and Parekh,  Tejas and Tamarappoo,  Balaji K. and Sharir,  Tali and Einstein,  Andrew J. and Fish,  Mathews B. and Ruddy,  Terrence D. and Kaufmann,  Philipp A. and Sinusas,  Albert J. and Miller,  Edward J. and Bateman,  Timothy M. and Dorbala,  Sharmila and Di Carli,  Marcelo and Cadet,  Sebastien and Liang,  Joanna X. and Dey,  Damini and Berman,  Daniel S. and Slomka,  Piotr J.},
  year = {2022},
  month = jun,
  pages = {1091–1102}
}</t>
  </si>
  <si>
    <t>http://pubmed.ncbi.nlm.nih.gov/34274267/</t>
  </si>
  <si>
    <t>AUC 0.84, sensitivity 0.85, specificity 0.6</t>
  </si>
  <si>
    <t>CAD probability map</t>
  </si>
  <si>
    <t>article{Song2023,
  title = {Predicting 7-day unplanned readmission in elderly patients with coronary heart disease using machine learning},
  volume = {10},
  ISSN = {2297-055X},
  url = {http://dx.doi.org/10.3389/fcvm.2023.1190038},
  DOI = {10.3389/fcvm.2023.1190038},
  journal = {Frontiers in Cardiovascular Medicine},
  publisher = {Frontiers Media SA},
  author = {Song,  Xuewu and Tong,  Yitong and Luo,  Yi and Chang,  Huan and Gao,  Guangjie and Dong,  Ziyi and Wu,  Xingwei and Tong,  Rongsheng},
  year = {2023},
  month = aug 
}</t>
  </si>
  <si>
    <t>https://pubmed.ncbi.nlm.nih.gov/37614939/</t>
  </si>
  <si>
    <t>Readmission prediction</t>
  </si>
  <si>
    <t>XGBoost, RF, MLP, Categorical Boosting, LR</t>
  </si>
  <si>
    <t>AUC 0.97, Acc 0.91, F1 0.91, AUPRC 0.98, Brier score 0.08</t>
  </si>
  <si>
    <t>Standadization, removal of variables with a lot of MV, removal of variables with low variance</t>
  </si>
  <si>
    <t>Clinical, Lab, Treatment</t>
  </si>
  <si>
    <t>article{Lee2022,
  title = {Machine learning of treadmill exercise test to improve selection for testing for coronary artery disease},
  volume = {340},
  ISSN = {0021-9150},
  url = {http://dx.doi.org/10.1016/j.atherosclerosis.2021.11.028},
  DOI = {10.1016/j.atherosclerosis.2021.11.028},
  journal = {Atherosclerosis},
  publisher = {Elsevier BV},
  author = {Lee,  Yin-Hao and Tsai,  Tsung-Hsien and Chen,  Jun-Hong and Huang,  Chi-Jung and Chiang,  Chern-En and Chen,  Chen-Huan and Cheng,  Hao-Min},
  year = {2022},
  month = jan,
  pages = {23–27}
}</t>
  </si>
  <si>
    <t>https://pubmed.ncbi.nlm.nih.gov/34871817/</t>
  </si>
  <si>
    <t>Selection for further testing/Screening</t>
  </si>
  <si>
    <t>article{Yeh2025,
  title = {Artificial intelligence-enhanced electrocardiography improves the detection of coronary artery disease},
  volume = {27},
  ISSN = {2001-0370},
  url = {http://dx.doi.org/10.1016/j.csbj.2024.12.032},
  DOI = {10.1016/j.csbj.2024.12.032},
  journal = {Computational and Structural Biotechnology Journal},
  publisher = {Elsevier BV},
  author = {Yeh,  Chi-Hsiao and Tsai,  Tsung-Hsien and Chen,  Chun-Hung and Chou,  Yi-Ju and Mao,  Chun-Tai and Su,  Tzu-Pei and Yang,  Ning-I and Lai,  Chi-Chun and Chen,  Chien-Tzung and Sytwu,  Huey-Kang and Tsai,  Ting-Fen},
  year = {2025},
  pages = {278–286}
}</t>
  </si>
  <si>
    <t>https://pubmed.ncbi.nlm.nih.gov/39881827/</t>
  </si>
  <si>
    <t>SHAP, Information gain</t>
  </si>
  <si>
    <t>Noise Removal, Automatic feature extraction from ECG</t>
  </si>
  <si>
    <t>AUC 0.9</t>
  </si>
  <si>
    <t>article{Br2023,
  title = {Prognostic value of a novel artificial intelligence-based coronary computed tomography angiography-derived ischaemia algorithm for patients with suspected coronary artery disease},
  volume = {25},
  ISSN = {2047-2412},
  url = {http://dx.doi.org/10.1093/ehjci/jead339},
  DOI = {10.1093/ehjci/jead339},
  number = {5},
  journal = {European Heart Journal - Cardiovascular Imaging},
  publisher = {Oxford University Press (OUP)},
  author = {B\"{a}r,  Sarah and Nabeta,  Takeru and Maaniitty,  Teemu and Saraste,  Antti and Bax,  Jeroen J and Earls,  James P and Min,  James K and Knuuti,  Juhani},
  year = {2023},
  month = dec,
  pages = {657–667}
}</t>
  </si>
  <si>
    <t>https://pubmed.ncbi.nlm.nih.gov/38084894/</t>
  </si>
  <si>
    <t>article{Vu2025,
  title = {Machine Learning Model for Predicting Coronary Heart Disease Risk: Development and Validation Using Insights From a Japanese Population–Based Study},
  volume = {9},
  ISSN = {2561-1011},
  url = {http://dx.doi.org/10.2196/68066},
  DOI = {10.2196/68066},
  journal = {JMIR Cardio},
  publisher = {JMIR Publications Inc.},
  author = {Vu,  Thien and Kokubo,  Yoshihiro and Inoue,  Mai and Yamamoto,  Masaki and Mohsen,  Attayeb and Martin-Morales,  Agustin and Dawadi,  Research and Inoue,  Takao and Tay,  Jie Ting and Yoshizaki,  Mari and Watanabe,  Naoki and Kuriya,  Yuki and Matsumoto,  Chisa and Arafa,  Ahmed and Nakao,  Yoko M and Kato,  Yuka and Teramoto,  Masayuki and Araki,  Michihiro},
  year = {2025},
  month = may,
  pages = {e68066–e68066}
}</t>
  </si>
  <si>
    <t>https://pubmed.ncbi.nlm.nih.gov/40354648/</t>
  </si>
  <si>
    <t>https://pubmed.ncbi.nlm.nih.gov/31513271/</t>
  </si>
  <si>
    <t>article{AlAref2019,
  title = {Machine learning of clinical variables and coronary artery calcium scoring for the prediction of obstructive coronary artery disease on coronary computed tomography angiography: analysis from the CONFIRM registry},
  volume = {41},
  ISSN = {1522-9645},
  url = {http://dx.doi.org/10.1093/eurheartj/ehz565},
  DOI = {10.1093/eurheartj/ehz565},
  number = {3},
  journal = {European Heart Journal},
  publisher = {Oxford University Press (OUP)},
  author = {Al’Aref,  Subhi J and Maliakal,  Gabriel and Singh,  Gurpreet and van Rosendael,  Alexander R and Ma,  Xiaoyue and Xu,  Zhuoran and Alawamlh,  Omar Al Hussein and Lee,  Benjamin and Pandey,  Mohit and Achenbach,  Stephan and Al-Mallah,  Mouaz H and Andreini,  Daniele and Bax,  Jeroen J and Berman,  Daniel S and Budoff,  Matthew J and Cademartiri,  Filippo and Callister,  Tracy Q and Chang,  Hyuk-Jae and Chinnaiyan,  Kavitha and Chow,  Benjamin J W and Cury,  Ricardo C and DeLago,  Augustin and Feuchtner,  Gudrun and Hadamitzky,  Martin and Hausleiter,  Joerg and Kaufmann,  Philipp A and Kim,  Yong-Jin and Leipsic,  Jonathon A and Maffei,  Erica and Marques,  Hugo and Gon\c{c}alves,  Pedro de Araújo and Pontone,  Gianluca and Raff,  Gilbert L and Rubinshtein,  Ronen and Villines,  Todd C and Gransar,  Heidi and Lu,  Yao and Jones,  Erica C and Peña,  Jessica M and Lin,  Fay Y and Min,  James K and Shaw,  Leslee J},
  year = {2019},
  month = sep,
  pages = {359–367}
}</t>
  </si>
  <si>
    <t>https://pubmed.ncbi.nlm.nih.gov/38409549/</t>
  </si>
  <si>
    <t>article{Guo2024,
  title = {Comparison of machine learning–based CT fractional flow reserve with cardiac MR perfusion mapping for ischemia diagnosis in stable coronary artery disease},
  volume = {34},
  ISSN = {1432-1084},
  url = {http://dx.doi.org/10.1007/s00330-024-10650-6},
  DOI = {10.1007/s00330-024-10650-6},
  number = {9},
  journal = {European Radiology},
  publisher = {Springer Science and Business Media LLC},
  author = {Guo,  Weifeng and Zhao,  Shihai and Xu,  Haijia and He,  Wei and Yin,  Lekang and Yao,  Zhifeng and Xu,  Zhihan and Jin,  Hang and Wu,  Dong and Li,  Chenguang and Yang,  Shan and Zeng,  Mengsu},
  year = {2024},
  month = feb,
  pages = {5654–5665}
}</t>
  </si>
  <si>
    <t>article{Baskaran2020,
  title = {Machine learning insight into the role of imaging and clinical variables for the prediction of obstructive coronary artery disease and revascularization: An exploratory analysis of the CONSERVE study},
  volume = {15},
  ISSN = {1932-6203},
  url = {http://dx.doi.org/10.1371/journal.pone.0233791},
  DOI = {10.1371/journal.pone.0233791},
  number = {6},
  journal = {PLOS ONE},
  publisher = {Public Library of Science (PLoS)},
  author = {Baskaran,  Lohendran and Ying,  Xiaohan and Xu,  Zhuoran and Al’Aref,  Subhi J. and Lee,  Benjamin C. and Lee,  Sang-Eun and Danad,  Ibrahim and Park,  Hyung-Bok and Bathina,  Ravi and Baggiano,  Andrea and Beltrama,  Virginia and Cerci,  Rodrigo and Choi,  Eui-Young and Choi,  Jung-Hyun and Choi,  So-Yeon and Cole,  Jason and Doh,  Joon-Hyung and Ha,  Sang-Jin and Her,  Ae-Young and Kepka,  Cezary and Kim,  Jang-Young and Kim,  Jin-Won and Kim,  Sang-Wook and Kim,  Woong and Lu,  Yao and Kumar,  Amit and Heo,  Ran and Lee,  Ji Hyun and Sung,  Ji-min and Valeti,  Uma and Andreini,  Daniele and Pontone,  Gianluca and Han,  Donghee and Villines,  Todd C. and Lin,  Fay and Chang,  Hyuk-Jae and Min,  James K. and Shaw,  Leslee J.},
  editor = {Zirlik,  Andreas},
  year = {2020},
  month = jun,
  pages = {e0233791}
}</t>
  </si>
  <si>
    <t>https://pubmed.ncbi.nlm.nih.gov/32584909/</t>
  </si>
  <si>
    <t>article{Berger2025,
  title = {Opportunistic assessment of abdominal aortic calcification using artificial intelligence (AI) predicts coronary artery disease and cardiovascular events},
  volume = {288},
  ISSN = {0002-8703},
  url = {http://dx.doi.org/10.1016/j.ahj.2025.04.019},
  DOI = {10.1016/j.ahj.2025.04.019},
  journal = {American Heart Journal},
  publisher = {Elsevier BV},
  author = {Berger,  Jeffrey S. and Lyu,  Chen and Iturrate,  Eduardo and Westerhoff,  Malte and Gyftopoulos,  Soterios and Dane,  Bari and Zhong,  Judy and Recht,  Michael and Bredella,  Miriam A.},
  year = {2025},
  month = oct,
  pages = {122–130}
}</t>
  </si>
  <si>
    <t>https://pubmed.ncbi.nlm.nih.gov/40287120/</t>
  </si>
  <si>
    <t>article{Choi2023,
  title = {Pre-test probability for coronary artery disease in patients with chest pain based on machine learning techniques},
  volume = {385},
  ISSN = {0167-5273},
  url = {http://dx.doi.org/10.1016/j.ijcard.2023.05.041},
  DOI = {10.1016/j.ijcard.2023.05.041},
  journal = {International Journal of Cardiology},
  publisher = {Elsevier BV},
  author = {Choi,  Byoung Geol and Park,  Ji Young and Rha,  Seung-Woon and Noh,  Yung-Kyun},
  year = {2023},
  month = aug,
  pages = {85–93}
}</t>
  </si>
  <si>
    <t>https://pubmed.ncbi.nlm.nih.gov/37230426/</t>
  </si>
  <si>
    <t>article{Johnson2019,
  title = {Scoring of Coronary Artery Disease Characteristics on Coronary CT Angiograms by Using Machine Learning},
  volume = {292},
  ISSN = {1527-1315},
  url = {http://dx.doi.org/10.1148/radiol.2019182061},
  DOI = {10.1148/radiol.2019182061},
  number = {2},
  journal = {Radiology},
  publisher = {Radiological Society of North America (RSNA)},
  author = {Johnson,  Kevin M. and Johnson,  Hilary E. and Zhao,  Yang and Dowe,  David A. and Staib,  Lawrence H.},
  year = {2019},
  month = aug,
  pages = {354–362}
}</t>
  </si>
  <si>
    <t>https://pubmed.ncbi.nlm.nih.gov/31237495/</t>
  </si>
  <si>
    <t>article{Du2020,
  title = {Accurate Prediction of Coronary Heart Disease for Patients With Hypertension From Electronic Health Records With Big Data and Machine-Learning Methods: Model Development and Performance Evaluation},
  volume = {8},
  ISSN = {2291-9694},
  url = {http://dx.doi.org/10.2196/17257},
  DOI = {10.2196/17257},
  number = {7},
  journal = {JMIR Medical Informatics},
  publisher = {JMIR Publications Inc.},
  author = {Du,  Zhenzhen and Yang,  Yujie and Zheng,  Jing and Li,  Qi and Lin,  Denan and Li,  Ye and Fan,  Jianping and Cheng,  Wen and Chen,  Xie-Hui and Cai,  Yunpeng},
  year = {2020},
  month = jul,
  pages = {e17257}
}</t>
  </si>
  <si>
    <t>https://pubmed.ncbi.nlm.nih.gov/32628616/</t>
  </si>
  <si>
    <t>article{Mirjalili2023,
  title = {An innovative model for predicting coronary heart disease using triglyceride-glucose index: a machine learning-based cohort study},
  volume = {22},
  ISSN = {1475-2840},
  url = {http://dx.doi.org/10.1186/s12933-023-01939-9},
  DOI = {10.1186/s12933-023-01939-9},
  number = {1},
  journal = {Cardiovascular Diabetology},
  publisher = {Springer Science and Business Media LLC},
  author = {Mirjalili,  Seyed Reza and Soltani,  Sepideh and Heidari Meybodi,  Zahra and Marques-Vidal,  Pedro and Kraemer,  Alexander and Sarebanhassanabadi,  Mohammadtaghi},
  year = {2023},
  month = aug 
}</t>
  </si>
  <si>
    <t>https://pubmed.ncbi.nlm.nih.gov/37542255/</t>
  </si>
  <si>
    <t>article{Butler2024,
  title = {Time-Dependent ECG-AI Prediction of Fatal Coronary Heart Disease: A Retrospective Study},
  volume = {11},
  ISSN = {2308-3425},
  url = {http://dx.doi.org/10.3390/jcdd11120395},
  DOI = {10.3390/jcdd11120395},
  number = {12},
  journal = {Journal of Cardiovascular Development and Disease},
  publisher = {MDPI AG},
  author = {Butler,  Liam and Ivanov,  Alexander and Celik,  Turgay and Karabayir,  Ibrahim and Chinthala,  Lokesh and Tootooni,  Mohammad S. and Jaeger,  Byron C. and Patterson,  Luke T. and Doerr,  Adam J. and McManus,  David D. and Davis,  Robert L. and Herrington,  David and Akbilgic,  Oguz},
  year = {2024},
  month = dec,
  pages = {395}
}</t>
  </si>
  <si>
    <t>https://pubmed.ncbi.nlm.nih.gov/39728285/</t>
  </si>
  <si>
    <t>article{Mittas2022,
  title = {A Risk-Stratification Machine Learning Framework for the Prediction of Coronary Artery Disease Severity: Insights From the GESS Trial},
  volume = {8},
  ISSN = {2297-055X},
  url = {http://dx.doi.org/10.3389/fcvm.2021.812182},
  DOI = {10.3389/fcvm.2021.812182},
  journal = {Frontiers in Cardiovascular Medicine},
  publisher = {Frontiers Media SA},
  author = {Mittas,  Nikolaos and Chatzopoulou,  Fani and Kyritsis,  Konstantinos A. and Papagiannopoulos,  Christos I. and Theodoroula,  Nikoleta F. and Papazoglou,  Andreas S. and Karagiannidis,  Efstratios and Sofidis,  Georgios and Moysidis,  Dimitrios V. and Stalikas,  Nikolaos and Papa,  Anna and Chatzidimitriou,  Dimitrios and Sianos,  Georgios and Angelis,  Lefteris and Vizirianakis,  Ioannis S.},
  year = {2022},
  month = jan 
}</t>
  </si>
  <si>
    <t>http://pubmed.ncbi.nlm.nih.gov/35118145/</t>
  </si>
  <si>
    <t>article{Kim2022,
  title = {Machine learning models of clinically relevant biomarkers for the prediction of stable obstructive coronary artery disease},
  volume = {9},
  ISSN = {2297-055X},
  url = {http://dx.doi.org/10.3389/fcvm.2022.933803},
  DOI = {10.3389/fcvm.2022.933803},
  journal = {Frontiers in Cardiovascular Medicine},
  publisher = {Frontiers Media SA},
  author = {Kim,  Juntae and Lee,  Su Yeon and Cha,  Byung Hee and Lee,  Wonseop and Ryu,  JiWung and Chung,  Young Hak and Kim,  Dongmin and Lim,  Seong-Hoon and Kang,  Tae Soo and Park,  Byoung-Eun and Lee,  Myung-Yong and Cho,  Sungsoo},
  year = {2022},
  month = jul 
}</t>
  </si>
  <si>
    <t>https://pubmed.ncbi.nlm.nih.gov/35928935/</t>
  </si>
  <si>
    <t>article{Ghasemi2024,
  title = {Unsupervised Feature Selection to Identify Important ICD-10 and ATC Codes for Machine Learning on a Cohort of Patients With Coronary Heart Disease: Retrospective Study},
  volume = {12},
  ISSN = {2291-9694},
  url = {http://dx.doi.org/10.2196/52896},
  DOI = {10.2196/52896},
  journal = {JMIR Medical Informatics},
  publisher = {JMIR Publications Inc.},
  author = {Ghasemi,  Peyman and Lee,  Joon},
  year = {2024},
  month = jul,
  pages = {e52896–e52896}
}</t>
  </si>
  <si>
    <t>https://pubmed.ncbi.nlm.nih.gov/39087585/</t>
  </si>
  <si>
    <t>https://pubmed.ncbi.nlm.nih.gov/31443858/</t>
  </si>
  <si>
    <t>article{Abdar2019,
  title = {A new machine learning technique for an accurate diagnosis of coronary artery disease},
  volume = {179},
  ISSN = {0169-2607},
  url = {http://dx.doi.org/10.1016/j.cmpb.2019.104992},
  DOI = {10.1016/j.cmpb.2019.104992},
  journal = {Computer Methods and Programs in Biomedicine},
  publisher = {Elsevier BV},
  author = {Abdar,  Moloud and Książek,  Wojciech and Acharya,  U Rajendra and Tan,  Ru-San and Makarenkov,  Vladimir and Pławiak,  Paweł},
  year = {2019},
  month = oct,
  pages = {104992}
}</t>
  </si>
  <si>
    <t>https://pubmed.ncbi.nlm.nih.gov/39323757/</t>
  </si>
  <si>
    <t>article{Minhas2025,
  title = {Machine learning analysis of integrated ABP and PPG signals towards early detection of coronary artery disease},
  volume = {15},
  ISSN = {2045-2322},
  url = {http://dx.doi.org/10.1038/s41598-025-93390-x},
  DOI = {10.1038/s41598-025-93390-x},
  number = {1},
  journal = {Scientific Reports},
  publisher = {Springer Science and Business Media LLC},
  author = {Minhas,  Amandeep and Pal,  Subhash Chandra and Jain,  Karan},
  year = {2025},
  month = mar 
}</t>
  </si>
  <si>
    <t>https://pubmed.ncbi.nlm.nih.gov/40074834/</t>
  </si>
  <si>
    <t>article{Wang2025,
  title = {Advanced Machine Learning to Predict Coronary Artery Disease Severity in Patients with Premature Myocardial Infarction},
  volume = {26},
  ISSN = {2153-8174},
  url = {http://dx.doi.org/10.31083/RCM26102},
  DOI = {10.31083/rcm26102},
  number = {1},
  journal = {Reviews in Cardiovascular Medicine},
  publisher = {IMR Press},
  author = {Wang,  Yu-Hang and Li,  Chang-Ping and Wang,  Jing-Xian and Cui,  Zhuang and Zhou,  Yu and Jing,  An-Ran and Liang,  Miao-Miao and Liu,  Yin and Gao,  Jing},
  year = {2025},
  month = jan 
}</t>
  </si>
  <si>
    <t>https://pubmed.ncbi.nlm.nih.gov/39867191/</t>
  </si>
  <si>
    <t>article{Rehman2025,
  title = {Predicting coronary heart disease with advanced machine learning classifiers for improved cardiovascular risk assessment},
  volume = {15},
  ISSN = {2045-2322},
  url = {http://dx.doi.org/10.1038/s41598-025-96437-1},
  DOI = {10.1038/s41598-025-96437-1},
  number = {1},
  journal = {Scientific Reports},
  publisher = {Springer Science and Business Media LLC},
  author = {Rehman,  Moiz Ur and Naseem,  Shahid and Butt,  Ateeq Ur Rehman and Mahmood,  Tariq and Khan,  Amjad Rehman and Khan,  Inayat and Khan,  Jawad and Jung,  Younhyun},
  year = {2025},
  month = apr 
}</t>
  </si>
  <si>
    <t>http://pubmed.ncbi.nlm.nih.gov/40247042/</t>
  </si>
  <si>
    <t>article{Qiao2020,
  title = {Impact of machine learning–based coronary computed tomography angiography fractional flow reserve on treatment decisions and clinical outcomes in patients with suspected coronary artery disease},
  volume = {30},
  ISSN = {1432-1084},
  url = {http://dx.doi.org/10.1007/s00330-020-06964-w},
  DOI = {10.1007/s00330-020-06964-w},
  number = {11},
  journal = {European Radiology},
  publisher = {Springer Science and Business Media LLC},
  author = {Qiao,  Hong Yan and Tang,  Chun Xiang and Schoepf,  U. Joseph and Tesche,  Christian and Bayer,  Richard R. and Giovagnoli,  Dante A and Todd Hudson,  H. and Zhou,  Chang Sheng and Yan,  Jing and Lu,  Meng Jie and Zhou,  Fan and Lu,  Guang Ming and Jiang,  Jian Wei and Zhang,  Long Jiang},
  year = {2020},
  month = may,
  pages = {5841–5851}
}</t>
  </si>
  <si>
    <t>https://pubmed.ncbi.nlm.nih.gov/32462444/</t>
  </si>
  <si>
    <t>article{Orlenko2019,
  title = {Model selection for metabolomics: predicting diagnosis of coronary artery disease using automated machine learning},
  volume = {36},
  ISSN = {1367-4811},
  url = {http://dx.doi.org/10.1093/bioinformatics/btz796},
  DOI = {10.1093/bioinformatics/btz796},
  number = {6},
  journal = {Bioinformatics},
  publisher = {Oxford University Press (OUP)},
  author = {Orlenko,  Alena and Kofink,  Daniel and Lyytik\"{a}inen,  Leo-Pekka and Nikus,  Kjell and Mishra,  Pashupati and Kuukasj\"{a}rvi,  Pekka and Karhunen,  Pekka J and K\"{a}h\"{o}nen,  Mika and Laurikka,  Jari O and Lehtim\"{a}ki,  Terho and Asselbergs,  Folkert W and Moore,  Jason H},
  editor = {Kelso.,  Janet},
  year = {2019},
  month = nov,
  pages = {1772–1778}
}</t>
  </si>
  <si>
    <t>https://pubmed.ncbi.nlm.nih.gov/31702773/</t>
  </si>
  <si>
    <t>article{Gupta2023,
  title = {Real-world approach to comprehensive artificial intelligence-aided CT evaluation of coronary artery disease in 530 patients: A retrospective study},
  volume = {9},
  ISSN = {2405-8440},
  url = {http://dx.doi.org/10.1016/j.heliyon.2023.e19974},
  DOI = {10.1016/j.heliyon.2023.e19974},
  number = {9},
  journal = {Heliyon},
  publisher = {Elsevier BV},
  author = {Gupta,  Himanshu and Spanopoulous,  Basil and Lubat,  Edward and Krinsky,  Glenn and Rutledge,  John and Fortier,  Jacqueline H. and Grau,  Juan and Tayal,  Rajiv},
  year = {2023},
  month = sep,
  pages = {e19974}
}</t>
  </si>
  <si>
    <t>https://pubmed.ncbi.nlm.nih.gov/37809738/</t>
  </si>
  <si>
    <t>article{Shen2022,
  title = {A Machine Learning Model to Predict Cardiovascular Events during Exercise Evaluation in Patients with Coronary Heart Disease},
  volume = {11},
  ISSN = {2077-0383},
  url = {http://dx.doi.org/10.3390/jcm11206061},
  DOI = {10.3390/jcm11206061},
  number = {20},
  journal = {Journal of Clinical Medicine},
  publisher = {MDPI AG},
  author = {Shen,  Tao and Liu,  Dan and Lin,  Zi and Ren,  Chuan and Zhao,  Wei and Gao,  Wei},
  year = {2022},
  month = oct,
  pages = {6061}
}</t>
  </si>
  <si>
    <t>https://pubmed.ncbi.nlm.nih.gov/36294382/</t>
  </si>
  <si>
    <t>article{Hefti2024,
  title = {Do positive psychosocial factors contribute to the prediction of coronary artery disease? A UK Biobank–based machine learning approach},
  volume = {32},
  ISSN = {2047-4881},
  url = {http://dx.doi.org/10.1093/eurjpc/zwae237},
  DOI = {10.1093/eurjpc/zwae237},
  number = {6},
  journal = {European Journal of Preventive Cardiology},
  publisher = {Oxford University Press (OUP)},
  author = {Hefti,  René and Guemghar,  Souad and Battegay,  Edouard and Mueller,  Christian and Koenig,  Harold G and Schaefert,  Rainer and Meinlschmidt,  Gunther},
  year = {2024},
  month = jul,
  pages = {443–452}
}</t>
  </si>
  <si>
    <t>https://pubmed.ncbi.nlm.nih.gov/39056264/</t>
  </si>
  <si>
    <t>article{Beunza2019,
  title = {Comparison of machine learning algorithms for clinical event prediction (risk of coronary heart disease)},
  volume = {97},
  ISSN = {1532-0464},
  url = {http://dx.doi.org/10.1016/j.jbi.2019.103257},
  DOI = {10.1016/j.jbi.2019.103257},
  journal = {Journal of Biomedical Informatics},
  publisher = {Elsevier BV},
  author = {Beunza,  Juan-Jose and Puertas,  Enrique and García-Ovejero,  Ester and Villalba,  Gema and Condes,  Emilia and Koleva,  Gergana and Hurtado,  Cristian and Landecho,  Manuel F.},
  year = {2019},
  month = sep,
  pages = {103257}
}</t>
  </si>
  <si>
    <t>https://pubmed.ncbi.nlm.nih.gov/31374261/</t>
  </si>
  <si>
    <t>article{Bauer2023,
  title = {Prognostic Value of Machine Learning–based Time-to-Event Analysis Using Coronary CT Angiography in Patients with Suspected Coronary Artery Disease},
  volume = {5},
  ISSN = {2638-6135},
  url = {http://dx.doi.org/10.1148/ryct.220107},
  DOI = {10.1148/ryct.220107},
  number = {2},
  journal = {Radiology: Cardiothoracic Imaging},
  publisher = {Radiological Society of North America (RSNA)},
  author = {Bauer,  Maximilian J. and Nano,  Nejva and Adolf,  Rafael and Will,  Albrecht and Hendrich,  Eva and Martinoff,  Stefan A. and Hadamitzky,  Martin},
  year = {2023},
  month = apr 
}</t>
  </si>
  <si>
    <t>https://pubmed.ncbi.nlm.nih.gov/37124636/</t>
  </si>
  <si>
    <t>article{Overmars2021,
  title = {Preventing unnecessary imaging in patients suspect of coronary artery disease through machine learning of electronic health records},
  volume = {3},
  ISSN = {2634-3916},
  url = {http://dx.doi.org/10.1093/ehjdh/ztab103},
  DOI = {10.1093/ehjdh/ztab103},
  number = {1},
  journal = {European Heart Journal - Digital Health},
  publisher = {Oxford University Press (OUP)},
  author = {Overmars,  L Malin and van Es,  Bram and Groepenhoff,  Floor and De Groot,  Mark C H and Pasterkamp,  Gerard and den Ruijter,  Hester M and van Solinge,  Wouter W and Hoefer,  Imo E and Haitjema,  Saskia},
  year = {2021},
  month = dec,
  pages = {11–19}
}</t>
  </si>
  <si>
    <t>https://pubmed.ncbi.nlm.nih.gov/36713995/</t>
  </si>
  <si>
    <t>article{Shen2025,
  title = {Machine learning-based predictive models for perioperative major adverse cardiovascular events in patients with stable coronary artery disease undergoing noncardiac surgery},
  volume = {260},
  ISSN = {0169-2607},
  url = {http://dx.doi.org/10.1016/j.cmpb.2024.108561},
  DOI = {10.1016/j.cmpb.2024.108561},
  journal = {Computer Methods and Programs in Biomedicine},
  publisher = {Elsevier BV},
  author = {Shen,  Liang and Jin,  YunPeng and Pan,  AXiang and Wang,  Kai and Ye,  RunZe and Lin,  YangKai and Anwar,  Safraz and Xia,  WeiCong and Zhou,  Min and Guo,  XiaoGang},
  year = {2025},
  month = mar,
  pages = {108561}
}</t>
  </si>
  <si>
    <t>https://pubmed.ncbi.nlm.nih.gov/39708562/</t>
  </si>
  <si>
    <t>article{Eurlings2022,
  title = {Use of artificial intelligence to assess the risk of coronary artery disease without additional (non-invasive) testing: validation in a low-risk to intermediate-risk outpatient clinic cohort},
  volume = {12},
  ISSN = {2044-6055},
  url = {http://dx.doi.org/10.1136/bmjopen-2021-055170},
  DOI = {10.1136/bmjopen-2021-055170},
  number = {9},
  journal = {BMJ Open},
  publisher = {BMJ},
  author = {Eurlings,  Casper G M J and Bektas,  Sema and Sanders-van Wijk,  Sandra and Tsirkin,  Andrew and Vasilchenko,  Vasily and Meex,  Steven J R and Failer,  Michael and Oehri,  Caroline and Ruff,  Peter and Zellweger,  Michael J and Brunner-La Rocca,  Hans-Peter},
  year = {2022},
  month = sep,
  pages = {e055170}
}</t>
  </si>
  <si>
    <t>https://pubmed.ncbi.nlm.nih.gov/36167368/</t>
  </si>
  <si>
    <t>article{Fan2020,
  title = {AI-based prediction for the risk of coronary heart disease among patients with type 2 diabetes mellitus},
  volume = {10},
  ISSN = {2045-2322},
  url = {http://dx.doi.org/10.1038/s41598-020-71321-2},
  DOI = {10.1038/s41598-020-71321-2},
  number = {1},
  journal = {Scientific Reports},
  publisher = {Springer Science and Business Media LLC},
  author = {Fan,  Rui and Zhang,  Ning and Yang,  Longyan and Ke,  Jing and Zhao,  Dong and Cui,  Qinghua},
  year = {2020},
  month = sep 
}</t>
  </si>
  <si>
    <t>https://pubmed.ncbi.nlm.nih.gov/32879331/</t>
  </si>
  <si>
    <t>article{Lui2023,
  title = {An efficient approach to estimate the risk of coronary artery disease for people living with HIV using machine-learning-based retinal image analysis},
  volume = {18},
  ISSN = {1932-6203},
  url = {http://dx.doi.org/10.1371/journal.pone.0281701},
  DOI = {10.1371/journal.pone.0281701},
  number = {2},
  journal = {PLOS ONE},
  publisher = {Public Library of Science (PLoS)},
  author = {Lui,  Grace and Leung,  Ho Sang and Lee,  Jack and Wong,  Chun Kwok and Li,  Xinxin and Ho,  Mary and Wong,  Vivian and Li,  Timothy and Ho,  Tracy and Chan,  Yin Yan and Lee,  Shui Shan and Lee,  Alex PW and Wong,  Ka Tak and Zee,  Benny},
  editor = {Fukumoto,  Yoshihiro},
  year = {2023},
  month = feb,
  pages = {e0281701}
}</t>
  </si>
  <si>
    <t>https://pubmed.ncbi.nlm.nih.gov/36827291/</t>
  </si>
  <si>
    <t>https://pubmed.ncbi.nlm.nih.gov/40167635/</t>
  </si>
  <si>
    <t>article{Ji2025,
  title = {Machine learning-based models to predict type 2 diabetes combined with coronary heart disease and feature analysis-based on interpretable SHAP},
  ISSN = {1432-5233},
  url = {http://dx.doi.org/10.1007/s00592-025-02496-1},
  DOI = {10.1007/s00592-025-02496-1},
  journal = {Acta Diabetologica},
  publisher = {Springer Science and Business Media LLC},
  author = {Ji,  Yijian and Shang,  Hongyan and Yi,  Jing and Zang,  Wenhui and Cao,  Wenjun},
  year = {2025},
  month = apr 
}</t>
  </si>
  <si>
    <t>article{Qiao2022,
  title = {One-year outcomes of CCTA alone versus machine learning–based FFRCT for coronary artery disease: a single-center,  prospective study},
  volume = {32},
  ISSN = {1432-1084},
  url = {http://dx.doi.org/10.1007/s00330-022-08604-x},
  DOI = {10.1007/s00330-022-08604-x},
  number = {8},
  journal = {European Radiology},
  publisher = {Springer Science and Business Media LLC},
  author = {Qiao,  Hong Yan and Tang,  Chun Xiang and Schoepf,  U. Joseph and Bayer,  Richard R. and Tesche,  Christian and Di Jiang,  Meng and Yin,  Chang Qing and Zhou,  Chang Sheng and Zhou,  Fan and Lu,  Meng Jie and Jiang,  Jian Wei and Lu,  Guang Ming and Ni,  Qian Qian and Zhang,  Long Jiang},
  year = {2022},
  month = feb,
  pages = {5179–5188}
}</t>
  </si>
  <si>
    <t>https://pubmed.ncbi.nlm.nih.gov/35175380/</t>
  </si>
  <si>
    <t>article{Park2023,
  title = {Feasibility of Artificial Intelligence–Based Electrocardiography Analysis for the Prediction of Obstructive Coronary Artery Disease in Patients With Stable Angina: Validation Study},
  volume = {7},
  ISSN = {2561-1011},
  url = {http://dx.doi.org/10.2196/44791},
  DOI = {10.2196/44791},
  journal = {JMIR Cardio},
  publisher = {JMIR Publications Inc.},
  author = {Park,  Jiesuck and Yoon,  Yeonyee and Cho,  Youngjin and Kim,  Joonghee},
  year = {2023},
  month = may,
  pages = {e44791}
}</t>
  </si>
  <si>
    <t>https://pubmed.ncbi.nlm.nih.gov/37129937/</t>
  </si>
  <si>
    <t>article{Zhang2022,
  title = {Identification of DNA methylation-regulated genes as potential biomarkers for coronary heart disease via machine learning in the Framingham Heart Study},
  volume = {14},
  ISSN = {1868-7083},
  url = {http://dx.doi.org/10.1186/s13148-022-01343-2},
  DOI = {10.1186/s13148-022-01343-2},
  number = {1},
  journal = {Clinical Epigenetics},
  publisher = {Springer Science and Business Media LLC},
  author = {Zhang,  Xiaokang and Wang,  Chen and He,  Dingdong and Cheng,  Yating and Yu,  Li and Qi,  Daoxi and Li,  Boyu and Zheng,  Fang},
  year = {2022},
  month = sep 
}</t>
  </si>
  <si>
    <t>https://pubmed.ncbi.nlm.nih.gov/36180886/</t>
  </si>
  <si>
    <t>article{Ren2022,
  title = {Predictive value of CAC score combined with clinical features for obstructive coronary heart disease on coronary computed tomography angiography: a machine learning method},
  volume = {22},
  ISSN = {1471-2261},
  url = {http://dx.doi.org/10.1186/s12872-022-03022-9},
  DOI = {10.1186/s12872-022-03022-9},
  number = {1},
  journal = {BMC Cardiovascular Disorders},
  publisher = {Springer Science and Business Media LLC},
  author = {Ren,  Yongkui and Li,  Yulin and Pan,  Weili and Yin,  Da and Du,  Jie},
  year = {2022},
  month = dec 
}</t>
  </si>
  <si>
    <t>https://pubmed.ncbi.nlm.nih.gov/36572879/</t>
  </si>
  <si>
    <t>article{Simon2022,
  title = {The Impact of Time Horizon on Classification Accuracy: Application of Machine Learning to Prediction of Incident Coronary Heart Disease},
  volume = {6},
  ISSN = {2561-1011},
  url = {http://dx.doi.org/10.2196/38040},
  DOI = {10.2196/38040},
  number = {2},
  journal = {JMIR Cardio},
  publisher = {JMIR Publications Inc.},
  author = {Simon,  Steven and Mandair,  Divneet and Albakri,  Abdel and Fohner,  Alison and Simon,  Noah and Lange,  Leslie and Biggs,  Mary and Mukamal,  Kenneth and Psaty,  Bruce and Rosenberg,  Michael},
  year = {2022},
  month = nov,
  pages = {e38040}
}</t>
  </si>
  <si>
    <t>https://pubmed.ncbi.nlm.nih.gov/36322114/</t>
  </si>
  <si>
    <t>https://pubmed.ncbi.nlm.nih.gov/39850379/</t>
  </si>
  <si>
    <t>article{Agrawal2021,
  title = {Selection of 51 predictors from 13, 782 candidate multimodal features using machine learning improves coronary artery disease prediction},
  volume = {2},
  ISSN = {2666-3899},
  url = {http://dx.doi.org/10.1016/j.patter.2021.100364},
  DOI = {10.1016/j.patter.2021.100364},
  number = {12},
  journal = {Patterns},
  publisher = {Elsevier BV},
  author = {Agrawal,  Saaket and Klarqvist,  Marcus D.R. and Emdin,  Connor and Patel,  Aniruddh P. and Paranjpe,  Manish D. and Ellinor,  Patrick T. and Philippakis,  Anthony and Ng,  Kenney and Batra,  Puneet and Khera,  Amit V.},
  year = {2021},
  month = dec,
  pages = {100364}
}</t>
  </si>
  <si>
    <t>https://pubmed.ncbi.nlm.nih.gov/34950898/</t>
  </si>
  <si>
    <t>article{Liu2021,
  title = {Prediction of all-cause mortality in coronary artery disease patients with atrial fibrillation based on machine learning models},
  volume = {21},
  ISSN = {1471-2261},
  url = {http://dx.doi.org/10.1186/s12872-021-02314-w},
  DOI = {10.1186/s12872-021-02314-w},
  number = {1},
  journal = {BMC Cardiovascular Disorders},
  publisher = {Springer Science and Business Media LLC},
  author = {Liu,  Xinyun and Jiang,  Jicheng and Wei,  Lili and Xing,  Wenlu and Shang,  Hailong and Liu,  Guangan and Liu,  Feng},
  year = {2021},
  month = oct 
}</t>
  </si>
  <si>
    <t>https://pubmed.ncbi.nlm.nih.gov/34656086/</t>
  </si>
  <si>
    <t>https://pubmed.ncbi.nlm.nih.gov/39874615/</t>
  </si>
  <si>
    <t>Li2025b</t>
  </si>
  <si>
    <t>article{Li2025b,
  title = {Explainable machine learning model for assessing health status in patients with comorbid coronary heart disease and depression: Development and validation study},
  volume = {196},
  ISSN = {1386-5056},
  url = {http://dx.doi.org/10.1016/j.ijmedinf.2025.105808},
  DOI = {10.1016/j.ijmedinf.2025.105808},
  journal = {International Journal of Medical Informatics},
  publisher = {Elsevier BV},
  author = {Li,  Jiqing and Wu,  Shuo and Gu,  Jianhua},
  year = {2025},
  month = apr,
  pages = {105808}
}</t>
  </si>
  <si>
    <t>article{Li2025,
  title = {Machine Learning for the Prediction of Acute Kidney Injury in Critically Ill Patients With Coronary Heart Disease: Algorithm Development and Validation},
  volume = {13},
  ISSN = {2291-9694},
  url = {http://dx.doi.org/10.2196/72349},
  DOI = {10.2196/72349},
  journal = {JMIR Medical Informatics},
  publisher = {JMIR Publications Inc.},
  author = {Li,  Yike and Xiao,  Mingyang and Li,  Yaqian and Lv,  Lulu and Zhang,  Shanshan and Liu,  Yuhui and Zhang,  Juan},
  year = {2025},
  month = may,
  pages = {e72349}
}</t>
  </si>
  <si>
    <t>https://pubmed.ncbi.nlm.nih.gov/40383933/</t>
  </si>
  <si>
    <t>article{Marcinkowska2025,
  title = {Lipoproteins predicting coronary lesion complexity in premature coronary artery disease: a supervised machine learning approach},
  volume = {12},
  ISSN = {2297-055X},
  url = {http://dx.doi.org/10.3389/fcvm.2025.1470500},
  DOI = {10.3389/fcvm.2025.1470500},
  journal = {Frontiers in Cardiovascular Medicine},
  publisher = {Frontiers Media SA},
  author = {Marcinkowska,  Marta and Kuchta,  Agnieszka and Grešner,  Petra Małgorzata and Figatowski,  Tomasz and Kasprzyk,  Piotr and Targoński,  Radosław and Sobiczewski,  Wojciech and Jaguszewski,  Miłosz and Fijałkowski,  Marcin and Gruchała,  Marcin and Mickiewicz,  Agnieszka},
  year = {2025},
  month = apr 
}</t>
  </si>
  <si>
    <t>https://pubmed.ncbi.nlm.nih.gov/40342981/</t>
  </si>
  <si>
    <t>FFR determination</t>
  </si>
  <si>
    <t>Feature extraction with CNN</t>
  </si>
  <si>
    <t>CCTA</t>
  </si>
  <si>
    <t>C-index for primary endpoint 0.739</t>
  </si>
  <si>
    <t xml:space="preserve">Acc 0.73, Sensitivity 0.74, Specificity 0.72, AUC 0.73 </t>
  </si>
  <si>
    <t>Clinical, ECG, Eco</t>
  </si>
  <si>
    <t>Variable removal based on MV, Multivariate Imputation by Chained Equations, Variable removal based on correlation, LASSO, down-sampling of the majority class</t>
  </si>
  <si>
    <t>CONFIRM REGISTRY</t>
  </si>
  <si>
    <t>Clinical, CACS, UDF-score</t>
  </si>
  <si>
    <t>Including or excluding some of the variables for different models</t>
  </si>
  <si>
    <t>AUC 0.88</t>
  </si>
  <si>
    <t>CAD severity</t>
  </si>
  <si>
    <t>Acc 0.88, Sensitivity 0.89, Specificity 0.87</t>
  </si>
  <si>
    <t>CONSERVE</t>
  </si>
  <si>
    <t>Clinical, Angiography, CCTA</t>
  </si>
  <si>
    <t>CAD Detection, Revascularization prediction</t>
  </si>
  <si>
    <t>AUC 0.78 (CAD pred), AUC 0.95 (Revasc pred, sensitivity 0.89, specificity 0.92</t>
  </si>
  <si>
    <t>Abdominal CT</t>
  </si>
  <si>
    <t>LR, RF, SVM, KNN</t>
  </si>
  <si>
    <t xml:space="preserve">LR, SVM, XGBoost, DT, RF, KNN, </t>
  </si>
  <si>
    <t xml:space="preserve">Removal of instances based on MV, removal of variables based on MV, Imputation with average, </t>
  </si>
  <si>
    <t>AUC 0.94, Acc 0.87, F10.86, Sensitivity 0.82, PPV 0.90, Specificity 0.91, NPV 0.85</t>
  </si>
  <si>
    <t>LR, DT, SVM, RF, KNN</t>
  </si>
  <si>
    <t>AUC 0.88, Acc 0.88, Sensitivity 0.91, F1 0.88</t>
  </si>
  <si>
    <t>Dalex library</t>
  </si>
  <si>
    <t>C-index 0.7, AUC 0.79</t>
  </si>
  <si>
    <t>C-index 0.8, AUC 0.87</t>
  </si>
  <si>
    <t>Cox-model with ECG and clinical data</t>
  </si>
  <si>
    <t>LR, LinearR, DT, SVM, RF</t>
  </si>
  <si>
    <t xml:space="preserve">Clinical, Genetic, Angiography </t>
  </si>
  <si>
    <t>Feature selection with feature importance with Boruta, Hurdle models</t>
  </si>
  <si>
    <t>SVC, SVR</t>
  </si>
  <si>
    <t>F1 0.71 for SVC, MAE 6.5</t>
  </si>
  <si>
    <t>AUC 0.80, MCC 0.45, Acc 0.75</t>
  </si>
  <si>
    <t>CatBoost, XGBoost, GB, LightGBM, MLP, SVM, RF, KNN</t>
  </si>
  <si>
    <t>MissForest for imputation, Feature selection with recursive feature elimination and visual inspection of a SHAP-dependence plot</t>
  </si>
  <si>
    <t>APPROACH Registry</t>
  </si>
  <si>
    <t xml:space="preserve">Concrete autoencoder, Autoencoder-inspired unsupervised feature selection, Principal feature analysis (based on PCA), Unsupervised feature selection for multicluster data, Laplacian score </t>
  </si>
  <si>
    <t>Concrete autoencoder</t>
  </si>
  <si>
    <t>Risk Factor Identification</t>
  </si>
  <si>
    <t xml:space="preserve">LASSO regression, logistic regression, RF </t>
  </si>
  <si>
    <t>MIMIC-II</t>
  </si>
  <si>
    <t>ABP, Photoplethysmogram</t>
  </si>
  <si>
    <t>SVM, KNN, NN</t>
  </si>
  <si>
    <t>Band pass filters, feature extraction from signals</t>
  </si>
  <si>
    <t>Acc 0.9, Sensitivity 0.78, Specificity 0.91, PPV 0.9</t>
  </si>
  <si>
    <t>https://pubmed.ncbi.nlm.nih.gov/38330052/</t>
  </si>
  <si>
    <t>https://pubmed.ncbi.nlm.nih.gov/31839566/</t>
  </si>
  <si>
    <t>https://pubmed.ncbi.nlm.nih.gov/30463841/</t>
  </si>
  <si>
    <t>https://pubmed.ncbi.nlm.nih.gov/39762962/</t>
  </si>
  <si>
    <t>https://pubmed.ncbi.nlm.nih.gov/39948422/</t>
  </si>
  <si>
    <t>https://pubmed.ncbi.nlm.nih.gov/40200668/</t>
  </si>
  <si>
    <t>Lasso-logistic</t>
  </si>
  <si>
    <t xml:space="preserve">Lasso-logistic, RF, KNN, SVM, XGBoost  </t>
  </si>
  <si>
    <t>XGBoost feature ranking</t>
  </si>
  <si>
    <t xml:space="preserve">National Health and Nutritional Examination Survey </t>
  </si>
  <si>
    <t>particle swarm optimization (PSO) with an artificial neural network (ANN)</t>
  </si>
  <si>
    <t>Acc 0.97</t>
  </si>
  <si>
    <t>LR, RF, KNN, NB, SVM, CNN,  particle swarm optimization (PSO) with an artificial neural network (ANN)</t>
  </si>
  <si>
    <t>CAD severity, Treatment guidance</t>
  </si>
  <si>
    <t>Mutual information for feature selection, SMOTE</t>
  </si>
  <si>
    <t>NN (cFFR Siemens)</t>
  </si>
  <si>
    <t>Significantly superior to CCTA</t>
  </si>
  <si>
    <t>Bernoulli Naïve Bayes classifier, LR, DT, RF</t>
  </si>
  <si>
    <t>Standardization</t>
  </si>
  <si>
    <t>BNB</t>
  </si>
  <si>
    <t>Acc 0.77, Precision 0.91, Recall 0.78, AUC 0.85</t>
  </si>
  <si>
    <t>CNN (Cleerly Inc., FFR-CT)</t>
  </si>
  <si>
    <t>SVM, LR, GBDT, XGBoost</t>
  </si>
  <si>
    <t>AUC 0.794</t>
  </si>
  <si>
    <t>Clinical, Psicossocial factors</t>
  </si>
  <si>
    <t>Associations betwenn psycossocial factors and CAD</t>
  </si>
  <si>
    <t>AUC 0.722</t>
  </si>
  <si>
    <t>LR, SVM, DT, RF, NN</t>
  </si>
  <si>
    <t>Framingham Heart Study</t>
  </si>
  <si>
    <t>Event prediction</t>
  </si>
  <si>
    <t>Recursive feature elimination</t>
  </si>
  <si>
    <t>RSF</t>
  </si>
  <si>
    <t>C-index 0.74</t>
  </si>
  <si>
    <t>Utrecht Patient-Oriented Database (UPOD)</t>
  </si>
  <si>
    <t>Feature selection with Boruta algorithm</t>
  </si>
  <si>
    <t>AUC 0.80</t>
  </si>
  <si>
    <t xml:space="preserve">LR, SVM, GNB, RF, GBDT, XGBoost, LightGBM, CatBoost, NN </t>
  </si>
  <si>
    <t xml:space="preserve">Event prediction </t>
  </si>
  <si>
    <t>AUC.898, AUPRC 0.479</t>
  </si>
  <si>
    <t>Feature selection, MV imputation</t>
  </si>
  <si>
    <t>NN (multilayer non-linear complex classifier)</t>
  </si>
  <si>
    <t>AUC 0.87, Sensitivity 0.82, Specificity 0.77, PPV 0.41, NPV 0.96</t>
  </si>
  <si>
    <t>AUC 0.8</t>
  </si>
  <si>
    <t>Information entropy function-based feature selection</t>
  </si>
  <si>
    <t xml:space="preserve">Feature importance </t>
  </si>
  <si>
    <t>Clinical, Retinal fundus image</t>
  </si>
  <si>
    <t>ResNet extraction</t>
  </si>
  <si>
    <t>Adverse events prediction</t>
  </si>
  <si>
    <t>Survival data</t>
  </si>
  <si>
    <t>CT-FFR</t>
  </si>
  <si>
    <t>Artcile Type</t>
  </si>
  <si>
    <t>Removal of outleiers with interquartile
range (IQR) method, SMOTE, feature selection with Chi-squared test and Recursive Feature Elimination (RFE) with
Logistic Regression and  Lasso regression and Random Forestbased selection</t>
  </si>
  <si>
    <t>XGBoost, LR, RF, LightGBM</t>
  </si>
  <si>
    <t>Acc 0.89, Sensitivity 0.89, Specificity 0.89, F1 0.89, AUC 0.90</t>
  </si>
  <si>
    <t>Acc 0.79</t>
  </si>
  <si>
    <t>Feature extraction from ECG with NN</t>
  </si>
  <si>
    <t>AUC 0.83</t>
  </si>
  <si>
    <t>RF, LightGBM, XGBoost</t>
  </si>
  <si>
    <t>LightGBM</t>
  </si>
  <si>
    <t>AUC 0.83, sensitivity 0.672, specificity 0.864</t>
  </si>
  <si>
    <t>Clinical, Lab, CCTA</t>
  </si>
  <si>
    <t>LR, RF</t>
  </si>
  <si>
    <t>AUC 0.84, Sensitivity 0.75, Specificity 0.80, PPV 0.43, NPV 0.94, Acc 0.78</t>
  </si>
  <si>
    <t>AUC 0.71</t>
  </si>
  <si>
    <t>article{Wang2025b,
  title = {Development and validation of a prediction model for coronary heart disease risk in depressed patients aged 20 years and older using machine learning algorithms},
  volume = {11},
  ISSN = {2297-055X},
  url = {http://dx.doi.org/10.3389/fcvm.2024.1504957},
  DOI = {10.3389/fcvm.2024.1504957},
  journal = {Frontiers in Cardiovascular Medicine},
  publisher = {Frontiers Media SA},
  author = {Wang,  Yicheng and Wu,  Chuan-Yang and Fu,  Hui-Xian and Zhang,  Jian-Cheng},
  year = {2025},
  month = jan 
}</t>
  </si>
  <si>
    <t>LR, RF, GBM, SVM, XGBoost, DT, KNN, NN</t>
  </si>
  <si>
    <t>AUC 0.99, Brier 0.021</t>
  </si>
  <si>
    <t>SHAP, nomogram and web calculator</t>
  </si>
  <si>
    <t>UKBiobank</t>
  </si>
  <si>
    <t>ML4HEN-COX (elastic net regularized Cox regression), XGBoost, Cox proportional hazards</t>
  </si>
  <si>
    <t>C-index 0.796</t>
  </si>
  <si>
    <t>ML4HEN-COX</t>
  </si>
  <si>
    <t>Leave-one-out</t>
  </si>
  <si>
    <t>LR, RF, SVM</t>
  </si>
  <si>
    <t>AUC  0.732, specificity 0.70, Acc 0.94</t>
  </si>
  <si>
    <t>Model coefficient,  Gini importance index</t>
  </si>
  <si>
    <t>MIMIC-IV</t>
  </si>
  <si>
    <t>Feature selection with LASSO</t>
  </si>
  <si>
    <t>LR, DT, NB, RF, XGBoost, SVM</t>
  </si>
  <si>
    <t>AUC 0.765, Acc 0.725, Sensitivity 0.759, Precision 0.84, Specificity 0.653</t>
  </si>
  <si>
    <t>AUC 0.835, Acc 0.788, Sensitivity 0.757, Precision 0.757, Specificity 0.800</t>
  </si>
  <si>
    <t>LDA</t>
  </si>
  <si>
    <t>AUC 0.797, Acc 0.73, Sensitivity 0.73,  Specificity 0.73, PPV 0.33, NPV 0.93</t>
  </si>
  <si>
    <t>article{Lin2024,
  title = {Machine learning-based models for prediction of the risk of stroke in coronary artery disease patients receiving coronary revascularization},
  volume = {19},
  ISSN = {1932-6203},
  url = {http://dx.doi.org/10.1371/journal.pone.0296402},
  DOI = {10.1371/journal.pone.0296402},
  number = {2},
  journal = {PLOS ONE},
  publisher = {Public Library of Science (PLoS)},
  author = {Lin,  Lulu and Ding,  Li and Fu,  Zhongguo and Zhang,  Lijiao},
  editor = {AlShehhi,  Aamna Mohammed},
  year = {2024},
  month = feb,
  pages = {e0296402}
}</t>
  </si>
  <si>
    <t>article{Gowacki2020,
  title = {Machine Learning-based Algorithm Enables the Exclusion of Obstructive Coronary Artery Disease in the Patients Who Underwent Coronary Artery Calcium Scoring},
  volume = {27},
  ISSN = {1076-6332},
  url = {http://dx.doi.org/10.1016/j.acra.2019.11.016},
  DOI = {10.1016/j.acra.2019.11.016},
  number = {10},
  journal = {Academic Radiology},
  publisher = {Elsevier BV},
  author = {Głowacki,  Jan and Krysiński,  Mateusz and Czaja-Ziółkowska,  Monika and Wasilewski,  Jarosław},
  year = {2020},
  month = oct,
  pages = {1416–1421}
}</t>
  </si>
  <si>
    <t>article{Jin2019,
  title = {Development and Validation of Apolipoprotein AI-Associated Lipoprotein Proteome Panel for the Prediction of Cholesterol Efflux Capacity and Coronary Artery Disease},
  volume = {65},
  ISSN = {1530-8561},
  url = {http://dx.doi.org/10.1373/clinchem.2018.291922},
  DOI = {10.1373/clinchem.2018.291922},
  number = {2},
  journal = {Clinical Chemistry},
  publisher = {Oxford University Press (OUP)},
  author = {Jin,  Zhicheng and Collier,  Timothy S and Dai,  Darlene L Y and Chen,  Virginia and Hollander,  Zsuzsanna and Ng,  Raymond T and McManus,  Bruce M and Balshaw,  Robert and Apostolidou,  Sophia and Penn,  Marc S and Bystrom,  Cory},
  year = {2019},
  month = feb,
  pages = {282–290}
}</t>
  </si>
  <si>
    <t>article{Ren2025,
  title = {Coronary health index based on immunoglobulin light chains to assess coronary heart disease risk with machine learning: a diagnostic trial},
  volume = {23},
  ISSN = {1479-5876},
  url = {http://dx.doi.org/10.1186/s12967-024-06043-4},
  DOI = {10.1186/s12967-024-06043-4},
  number = {1},
  journal = {Journal of Translational Medicine},
  publisher = {Springer Science and Business Media LLC},
  author = {Ren,  Wenbo and Zhang,  Zichen and Wang,  Yifei and Wang,  Jiangyuan and Li,  Li and Shi,  Lin and Zhai,  Taiyu and Huang,  Jing},
  year = {2025},
  month = jan 
}</t>
  </si>
  <si>
    <t>article{Han2025,
  title = {Predicting low density lipoprotein cholesterol target attainment using machine learning in patients with coronary artery disease receiving moderate-dose statin therapy},
  volume = {15},
  ISSN = {2045-2322},
  url = {http://dx.doi.org/10.1038/s41598-025-88693-y},
  DOI = {10.1038/s41598-025-88693-y},
  number = {1},
  journal = {Scientific Reports},
  publisher = {Springer Science and Business Media LLC},
  author = {Han,  Jiye and Kim,  Yunha and Kang,  Hee Jun and Seo,  Jiahn and Choi,  Heejung and Kim,  Minkyoung and Kee,  Gaeun and Park,  Seohyun and Ko,  Soyoung and Jung,  HyoJe and Kim,  Byeolhee and Jun,  Tae Joon and Kim,  Young-Hak},
  year = {2025},
  month = feb 
}</t>
  </si>
  <si>
    <t>article{Zarepour2025,
  title = {Assessing Serum Apolipoproteins A‐I and b100 and the Apo A‐I/Apo b100 Ratio in Relation to Premature Coronary Artery Disease and Its Severity},
  ISSN = {1522-726X},
  url = {http://dx.doi.org/10.1002/ccd.31497},
  DOI = {10.1002/ccd.31497},
  journal = {Catheterization and Cardiovascular Interventions},
  publisher = {Wiley},
  author = {Zarepour,  Zahra and Parsa Mahjoob,  Mohammad and Taherpour,  Niloufar and Haji Aghajani,  Mohammad},
  year = {2025},
  month = apr 
}</t>
  </si>
  <si>
    <t>LR, SVM, RF, XGBoost, Adaboost, KNN, CatBoost</t>
  </si>
  <si>
    <t>AUC 0.760</t>
  </si>
  <si>
    <t>Stroke prediction</t>
  </si>
  <si>
    <t>Removal of features with &gt;50% MV, Removal of outliers, feature selection based on analysis of variance (ANOVA) or Gini impurity</t>
  </si>
  <si>
    <t>AUC 0.701</t>
  </si>
  <si>
    <t>GBM</t>
  </si>
  <si>
    <t>Unqiue</t>
  </si>
  <si>
    <t>Sensitivity 1</t>
  </si>
  <si>
    <t>Sensitivity 1, NPV 1, PPV 0.38</t>
  </si>
  <si>
    <t>AUC 0.712</t>
  </si>
  <si>
    <t>AUC 0.711</t>
  </si>
  <si>
    <t>Overall status assessment</t>
  </si>
  <si>
    <t>AUC 0.927</t>
  </si>
  <si>
    <t>XGBoost, RF, LR</t>
  </si>
  <si>
    <t xml:space="preserve">Acc, 0.661, Specificity  0.662, Sensitivity 0.659, PPV 0.644, NPV 0.677, AUC 0.709 </t>
  </si>
  <si>
    <t>AUC 0.95, Acc 0.90, Sensitivity 0.87, Specificity 0.96</t>
  </si>
  <si>
    <t>Feature selection with LASSO, Multiple interpolation with MICE</t>
  </si>
  <si>
    <t>ECG feature extraction using a CNN</t>
  </si>
  <si>
    <t>DL+EM</t>
  </si>
  <si>
    <t>Acc 0.69, Sensitivity 0.75,  Specificity 0.62, PPV 0.69, NPV 0.68,  AUC 0.72, F1 0.72</t>
  </si>
  <si>
    <t>Acc 0.62, Sensitivity 0.57,  Specificity 0.68, PPV 0.73, NPV 0.52,  AUC 0.67, F1 0.64</t>
  </si>
  <si>
    <t xml:space="preserve">Non-medical </t>
  </si>
  <si>
    <t>DT</t>
  </si>
  <si>
    <t>CNN</t>
  </si>
  <si>
    <t>CAD Detection, Event prediction</t>
  </si>
  <si>
    <t>AUC 0.782</t>
  </si>
  <si>
    <t>CAD Diagnosis</t>
  </si>
  <si>
    <t>Normalization</t>
  </si>
  <si>
    <t>Acc 0.93, F1 0.915</t>
  </si>
  <si>
    <t>CAD Prediction</t>
  </si>
  <si>
    <t>Removal of features with &gt;70% MV, Imputation</t>
  </si>
  <si>
    <t>AUC 0.792, Acc 0.72, Sensitivity 0.62, Specificity 0.705, F1 0.716, PPV 0.726, NPV 0.734</t>
  </si>
  <si>
    <t>Ensemble of RF + GBDT + SVM</t>
  </si>
  <si>
    <t>Information gain feature selection</t>
  </si>
  <si>
    <t>Acc 0.915</t>
  </si>
  <si>
    <t xml:space="preserve">SVM </t>
  </si>
  <si>
    <t>LR,  KNN, Bagged Trees, NN</t>
  </si>
  <si>
    <t>CAD Severity, Mortality prediction</t>
  </si>
  <si>
    <t>KNN; Bagged Trees</t>
  </si>
  <si>
    <t>AUC 0.77 (mortality prediction), AUC 0.85 (coronary mortality prediction)</t>
  </si>
  <si>
    <t>AUC 0.97</t>
  </si>
  <si>
    <t>AUC 0.90, AUC 0.87</t>
  </si>
  <si>
    <t>LR, RF, XGBoost, GBM, NN</t>
  </si>
  <si>
    <t>AUC 0.762, F1 0.801</t>
  </si>
  <si>
    <t xml:space="preserve">AUC 0.763, </t>
  </si>
  <si>
    <t>LR, RF, Elaatic Net,</t>
  </si>
  <si>
    <t>AUC 0.75, sensitivity 0.71, Sensibility´0.76</t>
  </si>
  <si>
    <t>CAD DeteNAction</t>
  </si>
  <si>
    <t>Subpopulation identification</t>
  </si>
  <si>
    <t>Severity of CAD,  percentage of lesion</t>
  </si>
  <si>
    <t>article{Zhang2024a,
  title = {Predicting angiographic coronary artery disease using machine learning and high-frequency QRS},
  volume = {24},
  ISSN = {1472-6947},
  url = {http://dx.doi.org/10.1186/s12911-024-02620-1},
  DOI = {10.1186/s12911-024-02620-1},
  number = {1},
  journal = {BMC Medical Informatics and Decision Making},
  publisher = {Springer Science and Business Media LLC},
  author = {Zhang,  Jiajia and Zhang,  Heng and Wei,  Ting and Kang,  Pinfang and Tang,  Bi and Wang,  Hongju},
  year = {2024},
  month = jul 
}</t>
  </si>
  <si>
    <t>article{Zhang2024b,
  title = {Use machine learning models to identify and assess risk factors for coronary artery disease},
  volume = {19},
  ISSN = {1932-6203},
  url = {http://dx.doi.org/10.1371/journal.pone.0307952},
  DOI = {10.1371/journal.pone.0307952},
  number = {9},
  journal = {PLOS ONE},
  publisher = {Public Library of Science (PLoS)},
  author = {Zhang,  Mingyang and Wang,  Hongnian and Zhao,  Ju},
  editor = {Huang,  Tao},
  year = {2024},
  month = sep,
  pages = {e0307952}
}</t>
  </si>
  <si>
    <t>article{Wang2021b,
  title = {Development and Validation of a Predictive Model for Coronary Artery Disease Using Machine Learning},
  volume = {8},
  ISSN = {2297-055X},
  url = {http://dx.doi.org/10.3389/fcvm.2021.614204},
  DOI = {10.3389/fcvm.2021.614204},
  journal = {Frontiers in Cardiovascular Medicine},
  publisher = {Frontiers Media SA},
  author = {Wang,  Chen and Zhao,  Yue and Jin,  Bingyu and Gan,  Xuedong and Liang,  Bin and Xiang,  Yang and Zhang,  Xiaokang and Lu,  Zhibing and Zheng,  Fang},
  year = {2021},
  month = feb 
}</t>
  </si>
  <si>
    <t>AUC 0.827</t>
  </si>
  <si>
    <t>AUC 0.952</t>
  </si>
  <si>
    <t>Clinical, Lab, Angiography</t>
  </si>
  <si>
    <t>Clinical, Lab, ECG, Angiography</t>
  </si>
  <si>
    <t>Clinical, Lab, ECG, Stress ECG,  Angiography</t>
  </si>
  <si>
    <t>Clinical, Stress ECG</t>
  </si>
  <si>
    <t>Clinical, Angiography, Eco</t>
  </si>
  <si>
    <t>Clinical, Lab, Carotid Eco, Angiography</t>
  </si>
  <si>
    <t>Clinical, Lab, Carotid Eco</t>
  </si>
  <si>
    <t>Original Modalities</t>
  </si>
  <si>
    <t>CNN 2D extraction for segmentation followed by feature extraction from these segments</t>
  </si>
  <si>
    <t>Hand-extraction, Automatic extraction</t>
  </si>
  <si>
    <t>CNN extraction</t>
  </si>
  <si>
    <t>Modality fusion</t>
  </si>
  <si>
    <t>CNN-based extraction</t>
  </si>
  <si>
    <t>article{Liu2024b,
  title = {Exploring the predictive values of CRP and lymphocytes in coronary artery disease based on a machine learning and Mendelian randomization},
  volume = {11},
  ISSN = {2297-055X},
  url = {http://dx.doi.org/10.3389/fcvm.2024.1442275},
  DOI = {10.3389/fcvm.2024.1442275},
  journal = {Frontiers in Cardiovascular Medicine},
  publisher = {Frontiers Media SA},
  author = {Liu,  Yuan and Yuan,  Xin and He,  Yu-Chan and Bi,  Zhong-Hai and Li,  Si-Yao and Li,  Ye and Liu,  Yan-Li and Miao,  Liu},
  year = {2024},
  month = sep 
}</t>
  </si>
  <si>
    <t>LR, SVM, KNN, DT, RF, GB, XGBM, CatBoost, AdaBoost,  Ensemble</t>
  </si>
  <si>
    <t>Ensemble with SVM, DT, KNN, GNB, LDA, QDA</t>
  </si>
  <si>
    <t>DT, GB, NB, KNN, LR, SVM, MLP,  RF, XGBoost</t>
  </si>
  <si>
    <t>RF, RBFNN, SVM, KNN, KRR</t>
  </si>
  <si>
    <t>LR, CumProb,  RF, SVM, KNN, LDA, NB,  GausProc, NN,  SGB</t>
  </si>
  <si>
    <t>DT, NN, LR, RF, SVM, XGBoost</t>
  </si>
  <si>
    <t>LR, XGBoost, AdaBoost, RF, SVM, KNN, NN, NB</t>
  </si>
  <si>
    <t>LR, RF, SVM, XGBoost, LightGBM</t>
  </si>
  <si>
    <t>GNB, LDA, KNN, QDA, SVM, MLP, RF, LR</t>
  </si>
  <si>
    <t>EN</t>
  </si>
  <si>
    <t>Clinical,  cPSTA</t>
  </si>
  <si>
    <t xml:space="preserve"> Cox proportional hazards model, Survival RF</t>
  </si>
  <si>
    <t>Clinical, Lab, CT</t>
  </si>
  <si>
    <t>Gowacki2020</t>
  </si>
  <si>
    <t>AlAref2019</t>
  </si>
  <si>
    <t>Final layer concatenation</t>
  </si>
  <si>
    <t>Ensemble with LR</t>
  </si>
  <si>
    <t>Ensemble with soft-voting</t>
  </si>
  <si>
    <t>Semi-automatic extraction</t>
  </si>
  <si>
    <t>LR, XGBoost, RF, NN</t>
  </si>
  <si>
    <t>Ensemble with  DT, SVM, RF, MLP</t>
  </si>
  <si>
    <t>Hefti2024</t>
  </si>
  <si>
    <t>Clinical, Genetic, Lab</t>
  </si>
  <si>
    <t>AUC 0.95</t>
  </si>
  <si>
    <t>Acc0.91; Rsquared 0.58</t>
  </si>
  <si>
    <t>AUC 0.886 , Acc 0.789, Sensitivity 0.858, Specificity 0.874</t>
  </si>
  <si>
    <t>AUC 0.61, ACC 0.68, Sensitivity 0.72, SPE 0.54</t>
  </si>
  <si>
    <t xml:space="preserve"> sensitivity 0.92, specificity 0.62</t>
  </si>
  <si>
    <t>Acc 0.95, sensitivity 0.96 ,  specificity 0.92, F1 0.96, AUC 0.98</t>
  </si>
  <si>
    <t>Acc 0.817, AUC 0.800, F1 0.771, Brier 0.142</t>
  </si>
  <si>
    <t>Acc 0.99</t>
  </si>
  <si>
    <t>Acc 0.93</t>
  </si>
  <si>
    <t>specificity 0.93, sensitivity 0.84, AUC 0.93</t>
  </si>
  <si>
    <t>Acc 0.79, sensitivity 0.94, specificity 0.51, AUC 0.837</t>
  </si>
  <si>
    <t>Br2023</t>
  </si>
  <si>
    <t>LR, RF, DT, KNN, SVM</t>
  </si>
  <si>
    <t>XGBoost, LR, LightGBM, RF, AdaBoost, GNB, MLP, DT, KNN</t>
  </si>
  <si>
    <t>LR, DT, RF,  XGBoost, LightGBM, GBDT, SVM, NN</t>
  </si>
  <si>
    <t>NN, SVM, TreeBag, DT, XGBoost, NB, RF, LR, KNN, GBM</t>
  </si>
  <si>
    <t>XGBoost, LR, LightGBM, RF, AdaBoost, MLP, SVM, KNN, GNB</t>
  </si>
  <si>
    <t>SHAP, Feature importance</t>
  </si>
  <si>
    <t>Transf_modality</t>
  </si>
  <si>
    <t>CNN, ResNet50V2 [16], InceptionV3 [17], InceptionResNetV2 [18], Xception [19], and DenseNet [20,21]), NN</t>
  </si>
  <si>
    <t>LR, RF, SVM, XGBoost, LightGBM, LR, RF, LSTM, transformer, CNN (ECG), Ensemble, NN</t>
  </si>
  <si>
    <t>XGBoost, RF, SVM, RR, EM, CNN, NN</t>
  </si>
  <si>
    <t>CNN, NN</t>
  </si>
  <si>
    <t>LR, CNN, NN</t>
  </si>
  <si>
    <t>CNN (ECG), NN, Cox-model</t>
  </si>
  <si>
    <t>LR, DT, SVM, RF, NN</t>
  </si>
  <si>
    <t>LR, GNB, KNN, GB, XGBoost, RF, NN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</si>
</sst>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b/>
      <sz val="12"/>
      <color theme="0"/>
      <name val="Aptos Narrow"/>
      <scheme val="minor"/>
    </font>
    <font>
      <u/>
      <sz val="12"/>
      <color theme="10"/>
      <name val="Aptos Narrow"/>
      <family val="2"/>
      <scheme val="minor"/>
    </font>
    <font>
      <sz val="12"/>
      <color rgb="FF333333"/>
      <name val="Aptos Narrow"/>
      <scheme val="minor"/>
    </font>
    <font>
      <sz val="12"/>
      <color rgb="FF000000"/>
      <name val="Aptos Narrow"/>
      <family val="2"/>
      <scheme val="minor"/>
    </font>
    <font>
      <b/>
      <sz val="12"/>
      <color theme="1"/>
      <name val="Aptos Narrow"/>
      <scheme val="minor"/>
    </font>
    <font>
      <sz val="12"/>
      <color rgb="FFFF0000"/>
      <name val="Aptos Narrow"/>
      <family val="2"/>
      <scheme val="minor"/>
    </font>
    <font>
      <sz val="12"/>
      <color theme="1"/>
      <name val="Aptos Narrow"/>
      <scheme val="minor"/>
    </font>
    <font>
      <sz val="12"/>
      <color theme="6" tint="0.39997558519241921"/>
      <name val="Aptos Narrow"/>
      <family val="2"/>
      <scheme val="minor"/>
    </font>
    <font>
      <sz val="12"/>
      <color rgb="FF00B050"/>
      <name val="Aptos Narrow"/>
      <family val="2"/>
      <scheme val="minor"/>
    </font>
    <font>
      <u/>
      <sz val="12"/>
      <name val="Aptos Narrow"/>
      <family val="2"/>
      <scheme val="minor"/>
    </font>
    <font>
      <sz val="12"/>
      <name val="Aptos Narrow"/>
      <family val="2"/>
      <scheme val="minor"/>
    </font>
    <font>
      <sz val="12"/>
      <name val="Aptos Narrow"/>
      <scheme val="minor"/>
    </font>
    <font>
      <sz val="12"/>
      <name val="Aptos Narrow (Body)"/>
    </font>
  </fonts>
  <fills count="7">
    <fill>
      <patternFill patternType="none"/>
    </fill>
    <fill>
      <patternFill patternType="gray125"/>
    </fill>
    <fill>
      <patternFill patternType="solid">
        <fgColor theme="4" tint="-0.499984740745262"/>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83CCEB"/>
        <bgColor rgb="FF000000"/>
      </patternFill>
    </fill>
    <fill>
      <patternFill patternType="solid">
        <fgColor rgb="FFC0E6F5"/>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4">
    <xf numFmtId="0" fontId="0" fillId="0" borderId="0" xfId="0"/>
    <xf numFmtId="0" fontId="1" fillId="2" borderId="1" xfId="0" applyFont="1" applyFill="1" applyBorder="1"/>
    <xf numFmtId="0" fontId="0" fillId="3" borderId="1" xfId="0" applyFill="1" applyBorder="1"/>
    <xf numFmtId="0" fontId="2" fillId="3" borderId="0" xfId="1" applyFill="1"/>
    <xf numFmtId="0" fontId="0" fillId="3" borderId="1" xfId="0" applyFill="1" applyBorder="1" applyAlignment="1">
      <alignment wrapText="1"/>
    </xf>
    <xf numFmtId="0" fontId="0" fillId="4" borderId="1" xfId="0" applyFill="1" applyBorder="1"/>
    <xf numFmtId="0" fontId="1" fillId="2" borderId="1" xfId="0" applyFont="1" applyFill="1" applyBorder="1" applyAlignment="1">
      <alignment wrapText="1"/>
    </xf>
    <xf numFmtId="0" fontId="8" fillId="4" borderId="1" xfId="0" applyFont="1" applyFill="1" applyBorder="1" applyAlignment="1">
      <alignment wrapText="1"/>
    </xf>
    <xf numFmtId="0" fontId="0" fillId="4" borderId="1" xfId="0" applyFill="1" applyBorder="1" applyAlignment="1">
      <alignment wrapText="1"/>
    </xf>
    <xf numFmtId="0" fontId="0" fillId="4" borderId="0" xfId="0" applyFill="1" applyAlignment="1">
      <alignment wrapText="1"/>
    </xf>
    <xf numFmtId="0" fontId="3" fillId="3" borderId="1" xfId="0" applyFont="1" applyFill="1" applyBorder="1" applyAlignment="1">
      <alignment wrapText="1"/>
    </xf>
    <xf numFmtId="0" fontId="7" fillId="3" borderId="1" xfId="0" applyFont="1" applyFill="1" applyBorder="1" applyAlignment="1">
      <alignment wrapText="1"/>
    </xf>
    <xf numFmtId="0" fontId="5" fillId="3" borderId="1" xfId="0" applyFont="1" applyFill="1" applyBorder="1" applyAlignment="1">
      <alignment wrapText="1"/>
    </xf>
    <xf numFmtId="0" fontId="6" fillId="4" borderId="1" xfId="0" applyFont="1" applyFill="1" applyBorder="1" applyAlignment="1">
      <alignment wrapText="1"/>
    </xf>
    <xf numFmtId="0" fontId="0" fillId="3" borderId="0" xfId="0" applyFill="1" applyAlignment="1">
      <alignment wrapText="1"/>
    </xf>
    <xf numFmtId="0" fontId="9" fillId="4" borderId="1" xfId="0" applyFont="1" applyFill="1" applyBorder="1" applyAlignment="1">
      <alignment wrapText="1"/>
    </xf>
    <xf numFmtId="0" fontId="10" fillId="4" borderId="1" xfId="1" applyFont="1" applyFill="1" applyBorder="1" applyAlignment="1">
      <alignment wrapText="1"/>
    </xf>
    <xf numFmtId="0" fontId="11" fillId="4" borderId="1" xfId="0" applyFont="1" applyFill="1" applyBorder="1" applyAlignment="1">
      <alignment wrapText="1"/>
    </xf>
    <xf numFmtId="0" fontId="12" fillId="3" borderId="1" xfId="0" applyFont="1" applyFill="1" applyBorder="1"/>
    <xf numFmtId="0" fontId="12" fillId="3" borderId="1" xfId="0" applyFont="1" applyFill="1" applyBorder="1" applyAlignment="1">
      <alignment wrapText="1"/>
    </xf>
    <xf numFmtId="0" fontId="2" fillId="3" borderId="3" xfId="1" applyFill="1" applyBorder="1"/>
    <xf numFmtId="0" fontId="3" fillId="3" borderId="2" xfId="0" applyFont="1" applyFill="1" applyBorder="1" applyAlignment="1">
      <alignment wrapText="1"/>
    </xf>
    <xf numFmtId="0" fontId="4" fillId="5" borderId="1" xfId="0" applyFont="1" applyFill="1" applyBorder="1" applyAlignment="1">
      <alignment wrapText="1"/>
    </xf>
    <xf numFmtId="0" fontId="9" fillId="4" borderId="4" xfId="0" applyFont="1" applyFill="1" applyBorder="1" applyAlignment="1">
      <alignment wrapText="1"/>
    </xf>
    <xf numFmtId="0" fontId="7" fillId="4" borderId="1" xfId="0" applyFont="1" applyFill="1" applyBorder="1" applyAlignment="1">
      <alignment wrapText="1"/>
    </xf>
    <xf numFmtId="0" fontId="6" fillId="5" borderId="1" xfId="0" applyFont="1" applyFill="1" applyBorder="1" applyAlignment="1">
      <alignment wrapText="1"/>
    </xf>
    <xf numFmtId="0" fontId="4" fillId="5" borderId="4" xfId="0" applyFont="1" applyFill="1" applyBorder="1" applyAlignment="1">
      <alignment wrapText="1"/>
    </xf>
    <xf numFmtId="0" fontId="9" fillId="5" borderId="4" xfId="0" applyFont="1" applyFill="1" applyBorder="1" applyAlignment="1">
      <alignment wrapText="1"/>
    </xf>
    <xf numFmtId="0" fontId="2" fillId="4" borderId="1" xfId="1" applyFill="1" applyBorder="1" applyAlignment="1">
      <alignment wrapText="1"/>
    </xf>
    <xf numFmtId="0" fontId="3" fillId="6" borderId="1" xfId="0" applyFont="1" applyFill="1" applyBorder="1" applyAlignment="1">
      <alignment wrapText="1"/>
    </xf>
    <xf numFmtId="0" fontId="13" fillId="4" borderId="1" xfId="0" applyFont="1" applyFill="1" applyBorder="1" applyAlignment="1">
      <alignment wrapText="1"/>
    </xf>
    <xf numFmtId="0" fontId="12" fillId="5" borderId="1" xfId="0" applyFont="1" applyFill="1" applyBorder="1" applyAlignment="1">
      <alignment wrapText="1"/>
    </xf>
    <xf numFmtId="3" fontId="0" fillId="4" borderId="1" xfId="0" applyNumberFormat="1" applyFill="1" applyBorder="1" applyAlignment="1">
      <alignment wrapText="1"/>
    </xf>
    <xf numFmtId="0" fontId="0" fillId="3" borderId="1" xfId="0" quotePrefix="1" applyFill="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link.springer.com/search?new-search=true&amp;query=&amp;advancedSearch=true&amp;date=custom&amp;dateFrom=2015&amp;dateTo=&amp;title=%28%22Coronary+artery+disease%22+OR+%22Chronic+coronary+disease%22+OR+%22Coronary+heart+disease%22%29+AND+%28%22Artificial+Intelligence%22+OR+%22AI%22+OR+%22Machine+learning%22+OR+%22ML%22%29&amp;sortBy=relevance" TargetMode="External"/><Relationship Id="rId1" Type="http://schemas.openxmlformats.org/officeDocument/2006/relationships/hyperlink" Target="https://pubmed.ncbi.nlm.nih.gov/?term=%28%28%22Coronary+artery+disease%22%5BTitle%5D+OR+%22Coronary+heart+disease%22%5BTitle%5D+OR+%22chronic+coronary+disease%22%5BTitle%5D%29+AND+%28%22Machine+Learning%22%5BTitle%5D+OR+%22Artificial+Intelligence%22%5BTitle%5D+OR+%22ML%22%5BTitle%5D+OR+%22AI%22%5BTitle%5D%29%29&amp;filter=years.2015-2025&amp;show_snippets=off&amp;size=100"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pubmed.ncbi.nlm.nih.gov/39081950/" TargetMode="External"/><Relationship Id="rId21" Type="http://schemas.openxmlformats.org/officeDocument/2006/relationships/hyperlink" Target="https://pubmed.ncbi.nlm.nih.gov/40089748/" TargetMode="External"/><Relationship Id="rId42" Type="http://schemas.openxmlformats.org/officeDocument/2006/relationships/hyperlink" Target="https://pubmed.ncbi.nlm.nih.gov/31374261/" TargetMode="External"/><Relationship Id="rId47" Type="http://schemas.openxmlformats.org/officeDocument/2006/relationships/hyperlink" Target="https://pubmed.ncbi.nlm.nih.gov/37129937/" TargetMode="External"/><Relationship Id="rId63" Type="http://schemas.openxmlformats.org/officeDocument/2006/relationships/hyperlink" Target="https://pubmed.ncbi.nlm.nih.gov/31839566/" TargetMode="External"/><Relationship Id="rId68" Type="http://schemas.openxmlformats.org/officeDocument/2006/relationships/hyperlink" Target="https://pubmed.ncbi.nlm.nih.gov/39867191/" TargetMode="External"/><Relationship Id="rId84" Type="http://schemas.openxmlformats.org/officeDocument/2006/relationships/hyperlink" Target="https://pubmed.ncbi.nlm.nih.gov/30463841/" TargetMode="External"/><Relationship Id="rId89" Type="http://schemas.openxmlformats.org/officeDocument/2006/relationships/hyperlink" Target="https://pmc.ncbi.nlm.nih.gov/articles/PMC9649686/" TargetMode="External"/><Relationship Id="rId16" Type="http://schemas.openxmlformats.org/officeDocument/2006/relationships/hyperlink" Target="https://www.sciencedirect.com/science/article/abs/pii/S0025619622000465?via%3Dihub" TargetMode="External"/><Relationship Id="rId11" Type="http://schemas.openxmlformats.org/officeDocument/2006/relationships/hyperlink" Target="https://pmc.ncbi.nlm.nih.gov/articles/PMC8196502/" TargetMode="External"/><Relationship Id="rId32" Type="http://schemas.openxmlformats.org/officeDocument/2006/relationships/hyperlink" Target="https://www.sciencedirect.com/science/article/pii/S037811191930472X?via%3Dihub" TargetMode="External"/><Relationship Id="rId37" Type="http://schemas.openxmlformats.org/officeDocument/2006/relationships/hyperlink" Target="https://pubmed.ncbi.nlm.nih.gov/39087585/" TargetMode="External"/><Relationship Id="rId53" Type="http://schemas.openxmlformats.org/officeDocument/2006/relationships/hyperlink" Target="https://pubmed.ncbi.nlm.nih.gov/39874615/" TargetMode="External"/><Relationship Id="rId58" Type="http://schemas.openxmlformats.org/officeDocument/2006/relationships/hyperlink" Target="https://pubmed.ncbi.nlm.nih.gov/37230426/" TargetMode="External"/><Relationship Id="rId74" Type="http://schemas.openxmlformats.org/officeDocument/2006/relationships/hyperlink" Target="https://pubmed.ncbi.nlm.nih.gov/36827291/" TargetMode="External"/><Relationship Id="rId79" Type="http://schemas.openxmlformats.org/officeDocument/2006/relationships/hyperlink" Target="https://pubmed.ncbi.nlm.nih.gov/37607462/" TargetMode="External"/><Relationship Id="rId5" Type="http://schemas.openxmlformats.org/officeDocument/2006/relationships/hyperlink" Target="https://www.jacc.org/doi/10.1016/j.jcmg.2021.10.013" TargetMode="External"/><Relationship Id="rId90" Type="http://schemas.openxmlformats.org/officeDocument/2006/relationships/hyperlink" Target="https://pubmed.ncbi.nlm.nih.gov/36435054/" TargetMode="External"/><Relationship Id="rId22" Type="http://schemas.openxmlformats.org/officeDocument/2006/relationships/hyperlink" Target="https://pubmed.ncbi.nlm.nih.gov/39976703/" TargetMode="External"/><Relationship Id="rId27" Type="http://schemas.openxmlformats.org/officeDocument/2006/relationships/hyperlink" Target="http://pubmed.ncbi.nlm.nih.gov/37904123/" TargetMode="External"/><Relationship Id="rId43" Type="http://schemas.openxmlformats.org/officeDocument/2006/relationships/hyperlink" Target="https://pubmed.ncbi.nlm.nih.gov/37124636/" TargetMode="External"/><Relationship Id="rId48" Type="http://schemas.openxmlformats.org/officeDocument/2006/relationships/hyperlink" Target="https://pubmed.ncbi.nlm.nih.gov/36180886/" TargetMode="External"/><Relationship Id="rId64" Type="http://schemas.openxmlformats.org/officeDocument/2006/relationships/hyperlink" Target="https://pubmed.ncbi.nlm.nih.gov/38330052/" TargetMode="External"/><Relationship Id="rId69" Type="http://schemas.openxmlformats.org/officeDocument/2006/relationships/hyperlink" Target="https://pubmed.ncbi.nlm.nih.gov/32462444/" TargetMode="External"/><Relationship Id="rId8" Type="http://schemas.openxmlformats.org/officeDocument/2006/relationships/hyperlink" Target="https://pubmed.ncbi.nlm.nih.gov/33634169/" TargetMode="External"/><Relationship Id="rId51" Type="http://schemas.openxmlformats.org/officeDocument/2006/relationships/hyperlink" Target="https://pubmed.ncbi.nlm.nih.gov/39850379/" TargetMode="External"/><Relationship Id="rId72" Type="http://schemas.openxmlformats.org/officeDocument/2006/relationships/hyperlink" Target="https://pubmed.ncbi.nlm.nih.gov/39708562/" TargetMode="External"/><Relationship Id="rId80" Type="http://schemas.openxmlformats.org/officeDocument/2006/relationships/hyperlink" Target="https://pubmed.ncbi.nlm.nih.gov/35470135/" TargetMode="External"/><Relationship Id="rId85" Type="http://schemas.openxmlformats.org/officeDocument/2006/relationships/hyperlink" Target="https://pubmed.ncbi.nlm.nih.gov/38862854/" TargetMode="External"/><Relationship Id="rId93" Type="http://schemas.openxmlformats.org/officeDocument/2006/relationships/hyperlink" Target="https://pubmed.ncbi.nlm.nih.gov/38438006/" TargetMode="External"/><Relationship Id="rId3" Type="http://schemas.openxmlformats.org/officeDocument/2006/relationships/hyperlink" Target="https://ieeexplore.ieee.org/document/9666779" TargetMode="External"/><Relationship Id="rId12" Type="http://schemas.openxmlformats.org/officeDocument/2006/relationships/hyperlink" Target="https://pubmed.ncbi.nlm.nih.gov/37058460/" TargetMode="External"/><Relationship Id="rId17" Type="http://schemas.openxmlformats.org/officeDocument/2006/relationships/hyperlink" Target="https://pmc.ncbi.nlm.nih.gov/articles/PMC9204796/" TargetMode="External"/><Relationship Id="rId25" Type="http://schemas.openxmlformats.org/officeDocument/2006/relationships/hyperlink" Target="https://pubmed.ncbi.nlm.nih.gov/36389421/" TargetMode="External"/><Relationship Id="rId33" Type="http://schemas.openxmlformats.org/officeDocument/2006/relationships/hyperlink" Target="https://pubmed.ncbi.nlm.nih.gov/32628616/" TargetMode="External"/><Relationship Id="rId38" Type="http://schemas.openxmlformats.org/officeDocument/2006/relationships/hyperlink" Target="https://pubmed.ncbi.nlm.nih.gov/31443858/" TargetMode="External"/><Relationship Id="rId46" Type="http://schemas.openxmlformats.org/officeDocument/2006/relationships/hyperlink" Target="https://pubmed.ncbi.nlm.nih.gov/35175380/" TargetMode="External"/><Relationship Id="rId59" Type="http://schemas.openxmlformats.org/officeDocument/2006/relationships/hyperlink" Target="https://pubmed.ncbi.nlm.nih.gov/31237495/" TargetMode="External"/><Relationship Id="rId67" Type="http://schemas.openxmlformats.org/officeDocument/2006/relationships/hyperlink" Target="https://pubmed.ncbi.nlm.nih.gov/40200668/" TargetMode="External"/><Relationship Id="rId20" Type="http://schemas.openxmlformats.org/officeDocument/2006/relationships/hyperlink" Target="https://pubmed.ncbi.nlm.nih.gov/39875572/" TargetMode="External"/><Relationship Id="rId41" Type="http://schemas.openxmlformats.org/officeDocument/2006/relationships/hyperlink" Target="https://pubmed.ncbi.nlm.nih.gov/39056264/" TargetMode="External"/><Relationship Id="rId54" Type="http://schemas.openxmlformats.org/officeDocument/2006/relationships/hyperlink" Target="https://pubmed.ncbi.nlm.nih.gov/40354648/" TargetMode="External"/><Relationship Id="rId62" Type="http://schemas.openxmlformats.org/officeDocument/2006/relationships/hyperlink" Target="https://pubmed.ncbi.nlm.nih.gov/40074834/" TargetMode="External"/><Relationship Id="rId70" Type="http://schemas.openxmlformats.org/officeDocument/2006/relationships/hyperlink" Target="https://pubmed.ncbi.nlm.nih.gov/37809738/" TargetMode="External"/><Relationship Id="rId75" Type="http://schemas.openxmlformats.org/officeDocument/2006/relationships/hyperlink" Target="https://pubmed.ncbi.nlm.nih.gov/34950898/" TargetMode="External"/><Relationship Id="rId83" Type="http://schemas.openxmlformats.org/officeDocument/2006/relationships/hyperlink" Target="https://pmc.ncbi.nlm.nih.gov/articles/PMC6118376/" TargetMode="External"/><Relationship Id="rId88" Type="http://schemas.openxmlformats.org/officeDocument/2006/relationships/hyperlink" Target="https://pmc.ncbi.nlm.nih.gov/articles/PMC10493219/" TargetMode="External"/><Relationship Id="rId91" Type="http://schemas.openxmlformats.org/officeDocument/2006/relationships/hyperlink" Target="https://pubmed.ncbi.nlm.nih.gov/34243599/" TargetMode="External"/><Relationship Id="rId1" Type="http://schemas.openxmlformats.org/officeDocument/2006/relationships/hyperlink" Target="https://ieeexplore.ieee.org/document/10663854" TargetMode="External"/><Relationship Id="rId6" Type="http://schemas.openxmlformats.org/officeDocument/2006/relationships/hyperlink" Target="https://pubmed.ncbi.nlm.nih.gov/38194779/" TargetMode="External"/><Relationship Id="rId15" Type="http://schemas.openxmlformats.org/officeDocument/2006/relationships/hyperlink" Target="https://pubmed.ncbi.nlm.nih.gov/38664736/" TargetMode="External"/><Relationship Id="rId23" Type="http://schemas.openxmlformats.org/officeDocument/2006/relationships/hyperlink" Target="https://pubmed.ncbi.nlm.nih.gov/37642027/" TargetMode="External"/><Relationship Id="rId28" Type="http://schemas.openxmlformats.org/officeDocument/2006/relationships/hyperlink" Target="http://pubmed.ncbi.nlm.nih.gov/34274267/" TargetMode="External"/><Relationship Id="rId36" Type="http://schemas.openxmlformats.org/officeDocument/2006/relationships/hyperlink" Target="https://pubmed.ncbi.nlm.nih.gov/35928935/" TargetMode="External"/><Relationship Id="rId49" Type="http://schemas.openxmlformats.org/officeDocument/2006/relationships/hyperlink" Target="https://pubmed.ncbi.nlm.nih.gov/36572879/" TargetMode="External"/><Relationship Id="rId57" Type="http://schemas.openxmlformats.org/officeDocument/2006/relationships/hyperlink" Target="https://pubmed.ncbi.nlm.nih.gov/40287120/" TargetMode="External"/><Relationship Id="rId10" Type="http://schemas.openxmlformats.org/officeDocument/2006/relationships/hyperlink" Target="https://pmc.ncbi.nlm.nih.gov/articles/PMC9707870/" TargetMode="External"/><Relationship Id="rId31" Type="http://schemas.openxmlformats.org/officeDocument/2006/relationships/hyperlink" Target="https://pubmed.ncbi.nlm.nih.gov/31513271/" TargetMode="External"/><Relationship Id="rId44" Type="http://schemas.openxmlformats.org/officeDocument/2006/relationships/hyperlink" Target="https://pubmed.ncbi.nlm.nih.gov/36713995/" TargetMode="External"/><Relationship Id="rId52" Type="http://schemas.openxmlformats.org/officeDocument/2006/relationships/hyperlink" Target="https://pubmed.ncbi.nlm.nih.gov/34656086/" TargetMode="External"/><Relationship Id="rId60" Type="http://schemas.openxmlformats.org/officeDocument/2006/relationships/hyperlink" Target="https://pubmed.ncbi.nlm.nih.gov/39728285/" TargetMode="External"/><Relationship Id="rId65" Type="http://schemas.openxmlformats.org/officeDocument/2006/relationships/hyperlink" Target="https://pubmed.ncbi.nlm.nih.gov/39762962/" TargetMode="External"/><Relationship Id="rId73" Type="http://schemas.openxmlformats.org/officeDocument/2006/relationships/hyperlink" Target="https://pubmed.ncbi.nlm.nih.gov/36167368/" TargetMode="External"/><Relationship Id="rId78" Type="http://schemas.openxmlformats.org/officeDocument/2006/relationships/hyperlink" Target="https://pmc.ncbi.nlm.nih.gov/articles/PMC10806135/" TargetMode="External"/><Relationship Id="rId81" Type="http://schemas.openxmlformats.org/officeDocument/2006/relationships/hyperlink" Target="https://pubmed.ncbi.nlm.nih.gov/39366561/" TargetMode="External"/><Relationship Id="rId86" Type="http://schemas.openxmlformats.org/officeDocument/2006/relationships/hyperlink" Target="https://pmc.ncbi.nlm.nih.gov/articles/PMC11169272/" TargetMode="External"/><Relationship Id="rId4" Type="http://schemas.openxmlformats.org/officeDocument/2006/relationships/hyperlink" Target="https://pubmed.ncbi.nlm.nih.gov/36563696/" TargetMode="External"/><Relationship Id="rId9" Type="http://schemas.openxmlformats.org/officeDocument/2006/relationships/hyperlink" Target="https://pubmed.ncbi.nlm.nih.gov/38743996/" TargetMode="External"/><Relationship Id="rId13" Type="http://schemas.openxmlformats.org/officeDocument/2006/relationships/hyperlink" Target="https://pubmed.ncbi.nlm.nih.gov/37537293/" TargetMode="External"/><Relationship Id="rId18" Type="http://schemas.openxmlformats.org/officeDocument/2006/relationships/hyperlink" Target="https://pubmed.ncbi.nlm.nih.gov/39318697/" TargetMode="External"/><Relationship Id="rId39" Type="http://schemas.openxmlformats.org/officeDocument/2006/relationships/hyperlink" Target="http://pubmed.ncbi.nlm.nih.gov/40247042/" TargetMode="External"/><Relationship Id="rId34" Type="http://schemas.openxmlformats.org/officeDocument/2006/relationships/hyperlink" Target="https://pubmed.ncbi.nlm.nih.gov/37542255/" TargetMode="External"/><Relationship Id="rId50" Type="http://schemas.openxmlformats.org/officeDocument/2006/relationships/hyperlink" Target="https://pubmed.ncbi.nlm.nih.gov/36322114/" TargetMode="External"/><Relationship Id="rId55" Type="http://schemas.openxmlformats.org/officeDocument/2006/relationships/hyperlink" Target="https://pubmed.ncbi.nlm.nih.gov/38409549/" TargetMode="External"/><Relationship Id="rId76" Type="http://schemas.openxmlformats.org/officeDocument/2006/relationships/hyperlink" Target="https://pubmed.ncbi.nlm.nih.gov/40383933/" TargetMode="External"/><Relationship Id="rId7" Type="http://schemas.openxmlformats.org/officeDocument/2006/relationships/hyperlink" Target="https://www.sciencedirect.com/science/article/abs/pii/S0146280622003796?via%3Dihub" TargetMode="External"/><Relationship Id="rId71" Type="http://schemas.openxmlformats.org/officeDocument/2006/relationships/hyperlink" Target="https://pubmed.ncbi.nlm.nih.gov/36294382/" TargetMode="External"/><Relationship Id="rId92" Type="http://schemas.openxmlformats.org/officeDocument/2006/relationships/hyperlink" Target="https://pubmed.ncbi.nlm.nih.gov/30174760/" TargetMode="External"/><Relationship Id="rId2" Type="http://schemas.openxmlformats.org/officeDocument/2006/relationships/hyperlink" Target="https://ieeexplore.ieee.org/document/10500702" TargetMode="External"/><Relationship Id="rId29" Type="http://schemas.openxmlformats.org/officeDocument/2006/relationships/hyperlink" Target="https://pubmed.ncbi.nlm.nih.gov/34871817/" TargetMode="External"/><Relationship Id="rId24" Type="http://schemas.openxmlformats.org/officeDocument/2006/relationships/hyperlink" Target="https://link.springer.com/article/10.1007/s10729-020-09522-4" TargetMode="External"/><Relationship Id="rId40" Type="http://schemas.openxmlformats.org/officeDocument/2006/relationships/hyperlink" Target="https://pubmed.ncbi.nlm.nih.gov/31702773/" TargetMode="External"/><Relationship Id="rId45" Type="http://schemas.openxmlformats.org/officeDocument/2006/relationships/hyperlink" Target="https://pubmed.ncbi.nlm.nih.gov/40167635/" TargetMode="External"/><Relationship Id="rId66" Type="http://schemas.openxmlformats.org/officeDocument/2006/relationships/hyperlink" Target="https://pubmed.ncbi.nlm.nih.gov/39948422/" TargetMode="External"/><Relationship Id="rId87" Type="http://schemas.openxmlformats.org/officeDocument/2006/relationships/hyperlink" Target="https://bmcmedinformdecismak.biomedcentral.com/articles/10.1186/s12911-024-02620-1" TargetMode="External"/><Relationship Id="rId61" Type="http://schemas.openxmlformats.org/officeDocument/2006/relationships/hyperlink" Target="https://pubmed.ncbi.nlm.nih.gov/39323757/" TargetMode="External"/><Relationship Id="rId82" Type="http://schemas.openxmlformats.org/officeDocument/2006/relationships/hyperlink" Target="https://pubmed.ncbi.nlm.nih.gov/39799755/" TargetMode="External"/><Relationship Id="rId19" Type="http://schemas.openxmlformats.org/officeDocument/2006/relationships/hyperlink" Target="https://pubmed.ncbi.nlm.nih.gov/36072953/" TargetMode="External"/><Relationship Id="rId14" Type="http://schemas.openxmlformats.org/officeDocument/2006/relationships/hyperlink" Target="https://pubmed.ncbi.nlm.nih.gov/36236325/" TargetMode="External"/><Relationship Id="rId30" Type="http://schemas.openxmlformats.org/officeDocument/2006/relationships/hyperlink" Target="https://pubmed.ncbi.nlm.nih.gov/38084894/" TargetMode="External"/><Relationship Id="rId35" Type="http://schemas.openxmlformats.org/officeDocument/2006/relationships/hyperlink" Target="http://pubmed.ncbi.nlm.nih.gov/35118145/" TargetMode="External"/><Relationship Id="rId56" Type="http://schemas.openxmlformats.org/officeDocument/2006/relationships/hyperlink" Target="https://pubmed.ncbi.nlm.nih.gov/32584909/" TargetMode="External"/><Relationship Id="rId77" Type="http://schemas.openxmlformats.org/officeDocument/2006/relationships/hyperlink" Target="https://pubmed.ncbi.nlm.nih.gov/403429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7BFA9-7709-4346-9D75-A3427D7883F1}">
  <dimension ref="A1:D6"/>
  <sheetViews>
    <sheetView tabSelected="1" workbookViewId="0">
      <selection activeCell="B18" sqref="B18"/>
    </sheetView>
  </sheetViews>
  <sheetFormatPr baseColWidth="10" defaultRowHeight="16"/>
  <cols>
    <col min="1" max="1" width="20.6640625" customWidth="1"/>
    <col min="2" max="2" width="95.1640625" customWidth="1"/>
    <col min="3" max="3" width="29.33203125" customWidth="1"/>
    <col min="4" max="4" width="19.1640625" customWidth="1"/>
  </cols>
  <sheetData>
    <row r="1" spans="1:4">
      <c r="A1" s="1" t="s">
        <v>4</v>
      </c>
      <c r="B1" s="1" t="s">
        <v>8</v>
      </c>
      <c r="C1" s="1" t="s">
        <v>5</v>
      </c>
      <c r="D1" s="1" t="s">
        <v>9</v>
      </c>
    </row>
    <row r="2" spans="1:4" ht="60" customHeight="1">
      <c r="A2" s="2" t="s">
        <v>6</v>
      </c>
      <c r="B2" s="3" t="s">
        <v>67</v>
      </c>
      <c r="C2" s="18" t="s">
        <v>66</v>
      </c>
      <c r="D2" s="18">
        <v>46</v>
      </c>
    </row>
    <row r="3" spans="1:4" ht="60" customHeight="1">
      <c r="A3" s="2" t="s">
        <v>7</v>
      </c>
      <c r="B3" s="20" t="s">
        <v>83</v>
      </c>
      <c r="C3" s="18" t="s">
        <v>84</v>
      </c>
      <c r="D3" s="18">
        <v>224</v>
      </c>
    </row>
    <row r="4" spans="1:4" ht="60" customHeight="1">
      <c r="A4" s="2" t="s">
        <v>10</v>
      </c>
      <c r="B4" s="20" t="s">
        <v>302</v>
      </c>
      <c r="C4" s="18" t="s">
        <v>86</v>
      </c>
      <c r="D4" s="18">
        <v>72</v>
      </c>
    </row>
    <row r="5" spans="1:4" ht="60" customHeight="1">
      <c r="A5" s="2" t="s">
        <v>11</v>
      </c>
      <c r="B5" s="2" t="s">
        <v>85</v>
      </c>
      <c r="C5" s="19" t="s">
        <v>86</v>
      </c>
      <c r="D5" s="18">
        <v>3</v>
      </c>
    </row>
    <row r="6" spans="1:4" ht="20" customHeight="1">
      <c r="A6" s="5" t="s">
        <v>22</v>
      </c>
      <c r="B6" s="5"/>
      <c r="C6" s="18"/>
      <c r="D6" s="18">
        <f>SUM(D2:D5)</f>
        <v>345</v>
      </c>
    </row>
  </sheetData>
  <hyperlinks>
    <hyperlink ref="B3" r:id="rId1" display="https://pubmed.ncbi.nlm.nih.gov/?term=%28%28%22Coronary+artery+disease%22%5BTitle%5D+OR+%22Coronary+heart+disease%22%5BTitle%5D+OR+%22chronic+coronary+disease%22%5BTitle%5D%29+AND+%28%22Machine+Learning%22%5BTitle%5D+OR+%22Artificial+Intelligence%22%5BTitle%5D+OR+%22ML%22%5BTitle%5D+OR+%22AI%22%5BTitle%5D%29%29&amp;filter=years.2015-2025&amp;show_snippets=off&amp;size=100" xr:uid="{37D280DC-4EFF-034F-9BA7-779D48842DF5}"/>
    <hyperlink ref="B4" r:id="rId2" display="https://link.springer.com/search?new-search=true&amp;query=&amp;advancedSearch=true&amp;date=custom&amp;dateFrom=2015&amp;dateTo=&amp;title=%28%22Coronary+artery+disease%22+OR+%22Chronic+coronary+disease%22+OR+%22Coronary+heart+disease%22%29+AND+%28%22Artificial+Intelligence%22+OR+%22AI%22+OR+%22Machine+learning%22+OR+%22ML%22%29&amp;sortBy=relevance" xr:uid="{A681D3C0-BD34-CA4E-AB84-F92D3C8B427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00737-FDAA-0044-A9B4-DF588C19E6A2}">
  <dimension ref="A1:AE346"/>
  <sheetViews>
    <sheetView zoomScale="75" workbookViewId="0">
      <selection activeCell="C20" sqref="C20"/>
    </sheetView>
  </sheetViews>
  <sheetFormatPr baseColWidth="10" defaultRowHeight="16"/>
  <cols>
    <col min="1" max="4" width="19.33203125" customWidth="1"/>
    <col min="5" max="5" width="17.5" customWidth="1"/>
    <col min="6" max="7" width="14.5" customWidth="1"/>
    <col min="8" max="8" width="16.5" customWidth="1"/>
    <col min="9" max="9" width="13" customWidth="1"/>
    <col min="10" max="10" width="19.33203125" customWidth="1"/>
    <col min="11" max="14" width="14.5" customWidth="1"/>
    <col min="15" max="15" width="17.5" customWidth="1"/>
    <col min="16" max="18" width="19.33203125" customWidth="1"/>
    <col min="19" max="28" width="22" customWidth="1"/>
    <col min="29" max="30" width="14.5" customWidth="1"/>
    <col min="31" max="31" width="83.5" customWidth="1"/>
  </cols>
  <sheetData>
    <row r="1" spans="1:31" ht="17">
      <c r="A1" s="6" t="s">
        <v>4</v>
      </c>
      <c r="B1" s="6" t="s">
        <v>2</v>
      </c>
      <c r="C1" s="6" t="s">
        <v>12</v>
      </c>
      <c r="D1" s="6" t="s">
        <v>13</v>
      </c>
      <c r="E1" s="6" t="s">
        <v>62</v>
      </c>
      <c r="F1" s="6" t="s">
        <v>364</v>
      </c>
      <c r="G1" s="6" t="s">
        <v>58</v>
      </c>
      <c r="H1" s="6" t="s">
        <v>59</v>
      </c>
      <c r="I1" s="6" t="s">
        <v>60</v>
      </c>
      <c r="J1" s="6" t="s">
        <v>28</v>
      </c>
      <c r="K1" s="6" t="s">
        <v>0</v>
      </c>
      <c r="L1" s="6" t="s">
        <v>61</v>
      </c>
      <c r="M1" s="6" t="s">
        <v>355</v>
      </c>
      <c r="N1" s="6" t="s">
        <v>351</v>
      </c>
      <c r="O1" s="6" t="s">
        <v>352</v>
      </c>
      <c r="P1" s="6" t="s">
        <v>25</v>
      </c>
      <c r="Q1" s="6" t="s">
        <v>26</v>
      </c>
      <c r="R1" s="6" t="s">
        <v>389</v>
      </c>
      <c r="S1" s="6" t="s">
        <v>27</v>
      </c>
      <c r="T1" s="6" t="s">
        <v>29</v>
      </c>
      <c r="U1" s="6" t="s">
        <v>87</v>
      </c>
      <c r="V1" s="6" t="s">
        <v>30</v>
      </c>
      <c r="W1" s="6" t="s">
        <v>31</v>
      </c>
      <c r="X1" s="6" t="s">
        <v>528</v>
      </c>
      <c r="Y1" s="6" t="s">
        <v>63</v>
      </c>
      <c r="Z1" s="6" t="s">
        <v>1030</v>
      </c>
      <c r="AA1" s="6" t="s">
        <v>1034</v>
      </c>
      <c r="AB1" s="6" t="s">
        <v>64</v>
      </c>
      <c r="AC1" s="6" t="s">
        <v>1078</v>
      </c>
      <c r="AD1" s="6" t="s">
        <v>1</v>
      </c>
      <c r="AE1" s="6" t="s">
        <v>3</v>
      </c>
    </row>
    <row r="2" spans="1:31" ht="17">
      <c r="A2" s="4" t="s">
        <v>6</v>
      </c>
      <c r="B2" s="4" t="s">
        <v>33</v>
      </c>
      <c r="C2" s="13" t="s">
        <v>15</v>
      </c>
      <c r="D2" s="15"/>
      <c r="E2" s="8" t="s">
        <v>88</v>
      </c>
      <c r="F2" s="4"/>
      <c r="G2" s="4"/>
      <c r="H2" s="4"/>
      <c r="I2" s="4"/>
      <c r="J2" s="4"/>
      <c r="K2" s="8"/>
      <c r="L2" s="8"/>
      <c r="M2" s="9"/>
      <c r="N2" s="9"/>
      <c r="O2" s="9"/>
      <c r="P2" s="8"/>
      <c r="Q2" s="8"/>
      <c r="R2" s="8"/>
      <c r="S2" s="10"/>
      <c r="T2" s="4"/>
      <c r="U2" s="4"/>
      <c r="V2" s="10"/>
      <c r="W2" s="10"/>
      <c r="X2" s="10"/>
      <c r="Y2" s="10"/>
      <c r="Z2" s="10"/>
      <c r="AA2" s="10"/>
      <c r="AB2" s="10"/>
      <c r="AC2" s="8"/>
      <c r="AD2" s="8"/>
      <c r="AE2" s="8"/>
    </row>
    <row r="3" spans="1:31" ht="17">
      <c r="A3" s="4" t="s">
        <v>6</v>
      </c>
      <c r="B3" s="4" t="s">
        <v>34</v>
      </c>
      <c r="C3" s="13" t="s">
        <v>15</v>
      </c>
      <c r="D3" s="15"/>
      <c r="E3" s="8" t="s">
        <v>88</v>
      </c>
      <c r="F3" s="4"/>
      <c r="G3" s="4"/>
      <c r="H3" s="4"/>
      <c r="I3" s="4"/>
      <c r="J3" s="4"/>
      <c r="K3" s="8"/>
      <c r="L3" s="8"/>
      <c r="M3" s="8"/>
      <c r="N3" s="8"/>
      <c r="O3" s="8"/>
      <c r="P3" s="8"/>
      <c r="Q3" s="8"/>
      <c r="R3" s="8"/>
      <c r="S3" s="10"/>
      <c r="T3" s="4"/>
      <c r="U3" s="4"/>
      <c r="V3" s="21"/>
      <c r="W3" s="14"/>
      <c r="X3" s="14"/>
      <c r="Y3" s="10"/>
      <c r="Z3" s="10"/>
      <c r="AA3" s="10"/>
      <c r="AB3" s="10"/>
      <c r="AC3" s="8"/>
      <c r="AD3" s="8"/>
      <c r="AE3" s="8"/>
    </row>
    <row r="4" spans="1:31" ht="17">
      <c r="A4" s="4" t="s">
        <v>6</v>
      </c>
      <c r="B4" s="4" t="s">
        <v>35</v>
      </c>
      <c r="C4" s="13" t="s">
        <v>15</v>
      </c>
      <c r="D4" s="15"/>
      <c r="E4" s="8" t="s">
        <v>88</v>
      </c>
      <c r="F4" s="4"/>
      <c r="G4" s="4"/>
      <c r="H4" s="4"/>
      <c r="I4" s="4"/>
      <c r="J4" s="4"/>
      <c r="K4" s="8"/>
      <c r="L4" s="8"/>
      <c r="M4" s="8"/>
      <c r="N4" s="8"/>
      <c r="O4" s="8"/>
      <c r="P4" s="8"/>
      <c r="Q4" s="8"/>
      <c r="R4" s="8"/>
      <c r="S4" s="10"/>
      <c r="T4" s="14"/>
      <c r="U4" s="10"/>
      <c r="V4" s="21"/>
      <c r="W4" s="10"/>
      <c r="X4" s="10"/>
      <c r="Y4" s="10"/>
      <c r="Z4" s="10"/>
      <c r="AA4" s="10"/>
      <c r="AB4" s="10"/>
      <c r="AC4" s="8"/>
      <c r="AD4" s="8"/>
      <c r="AE4" s="8"/>
    </row>
    <row r="5" spans="1:31" ht="17">
      <c r="A5" s="4" t="s">
        <v>6</v>
      </c>
      <c r="B5" s="4" t="s">
        <v>36</v>
      </c>
      <c r="C5" s="13" t="s">
        <v>15</v>
      </c>
      <c r="D5" s="15"/>
      <c r="E5" s="8" t="s">
        <v>89</v>
      </c>
      <c r="F5" s="4"/>
      <c r="G5" s="4"/>
      <c r="H5" s="4"/>
      <c r="I5" s="4"/>
      <c r="J5" s="4"/>
      <c r="K5" s="8"/>
      <c r="L5" s="8"/>
      <c r="M5" s="8"/>
      <c r="N5" s="8"/>
      <c r="O5" s="8"/>
      <c r="P5" s="8"/>
      <c r="Q5" s="8"/>
      <c r="R5" s="8"/>
      <c r="S5" s="10"/>
      <c r="T5" s="10"/>
      <c r="U5" s="10"/>
      <c r="V5" s="10"/>
      <c r="W5" s="10"/>
      <c r="X5" s="10"/>
      <c r="Y5" s="10"/>
      <c r="Z5" s="10"/>
      <c r="AA5" s="10"/>
      <c r="AB5" s="10"/>
      <c r="AC5" s="8"/>
      <c r="AD5" s="8"/>
      <c r="AE5" s="8"/>
    </row>
    <row r="6" spans="1:31" ht="17">
      <c r="A6" s="4" t="s">
        <v>6</v>
      </c>
      <c r="B6" s="4" t="s">
        <v>37</v>
      </c>
      <c r="C6" s="13" t="s">
        <v>15</v>
      </c>
      <c r="D6" s="15"/>
      <c r="E6" s="8" t="s">
        <v>88</v>
      </c>
      <c r="F6" s="4"/>
      <c r="G6" s="4"/>
      <c r="H6" s="4"/>
      <c r="I6" s="4"/>
      <c r="J6" s="4"/>
      <c r="K6" s="8"/>
      <c r="L6" s="8"/>
      <c r="M6" s="8"/>
      <c r="N6" s="8"/>
      <c r="O6" s="8"/>
      <c r="P6" s="8"/>
      <c r="Q6" s="8"/>
      <c r="R6" s="8"/>
      <c r="S6" s="10"/>
      <c r="T6" s="10"/>
      <c r="U6" s="10"/>
      <c r="V6" s="10"/>
      <c r="W6" s="10"/>
      <c r="X6" s="10"/>
      <c r="Y6" s="10"/>
      <c r="Z6" s="10"/>
      <c r="AA6" s="10"/>
      <c r="AB6" s="10"/>
      <c r="AC6" s="8"/>
      <c r="AD6" s="8"/>
      <c r="AE6" s="8"/>
    </row>
    <row r="7" spans="1:31" ht="17">
      <c r="A7" s="4" t="s">
        <v>6</v>
      </c>
      <c r="B7" s="4" t="s">
        <v>38</v>
      </c>
      <c r="C7" s="13" t="s">
        <v>15</v>
      </c>
      <c r="D7" s="8"/>
      <c r="E7" s="8" t="s">
        <v>88</v>
      </c>
      <c r="F7" s="12"/>
      <c r="G7" s="12"/>
      <c r="H7" s="12"/>
      <c r="I7" s="12"/>
      <c r="J7" s="4"/>
      <c r="K7" s="8"/>
      <c r="L7" s="8"/>
      <c r="M7" s="8"/>
      <c r="N7" s="8"/>
      <c r="O7" s="8"/>
      <c r="P7" s="8"/>
      <c r="Q7" s="8"/>
      <c r="R7" s="8"/>
      <c r="S7" s="10"/>
      <c r="T7" s="10"/>
      <c r="U7" s="10"/>
      <c r="V7" s="10"/>
      <c r="W7" s="10"/>
      <c r="X7" s="10"/>
      <c r="Y7" s="10"/>
      <c r="Z7" s="10"/>
      <c r="AA7" s="10"/>
      <c r="AB7" s="10"/>
      <c r="AC7" s="8"/>
      <c r="AD7" s="8"/>
      <c r="AE7" s="8"/>
    </row>
    <row r="8" spans="1:31" ht="17">
      <c r="A8" s="4" t="s">
        <v>6</v>
      </c>
      <c r="B8" s="4" t="s">
        <v>39</v>
      </c>
      <c r="C8" s="13" t="s">
        <v>15</v>
      </c>
      <c r="D8" s="8"/>
      <c r="E8" s="8" t="s">
        <v>88</v>
      </c>
      <c r="F8" s="4"/>
      <c r="G8" s="4"/>
      <c r="H8" s="4"/>
      <c r="I8" s="4"/>
      <c r="J8" s="4"/>
      <c r="K8" s="8"/>
      <c r="L8" s="8"/>
      <c r="M8" s="8"/>
      <c r="N8" s="8"/>
      <c r="O8" s="8"/>
      <c r="P8" s="8"/>
      <c r="Q8" s="8"/>
      <c r="R8" s="8"/>
      <c r="S8" s="10"/>
      <c r="T8" s="10"/>
      <c r="U8" s="10"/>
      <c r="V8" s="10"/>
      <c r="W8" s="10"/>
      <c r="X8" s="10"/>
      <c r="Y8" s="10"/>
      <c r="Z8" s="10"/>
      <c r="AA8" s="10"/>
      <c r="AB8" s="10"/>
      <c r="AC8" s="8"/>
      <c r="AD8" s="8"/>
      <c r="AE8" s="8"/>
    </row>
    <row r="9" spans="1:31" ht="17">
      <c r="A9" s="4" t="s">
        <v>6</v>
      </c>
      <c r="B9" s="4" t="s">
        <v>40</v>
      </c>
      <c r="C9" s="13" t="s">
        <v>15</v>
      </c>
      <c r="D9" s="8"/>
      <c r="E9" s="8" t="s">
        <v>88</v>
      </c>
      <c r="F9" s="4"/>
      <c r="G9" s="4"/>
      <c r="H9" s="4"/>
      <c r="I9" s="4"/>
      <c r="J9" s="4"/>
      <c r="K9" s="8"/>
      <c r="L9" s="8"/>
      <c r="M9" s="8"/>
      <c r="N9" s="8"/>
      <c r="O9" s="8"/>
      <c r="P9" s="8"/>
      <c r="Q9" s="8"/>
      <c r="R9" s="8"/>
      <c r="S9" s="10"/>
      <c r="T9" s="10"/>
      <c r="U9" s="10"/>
      <c r="V9" s="10"/>
      <c r="W9" s="10"/>
      <c r="X9" s="10"/>
      <c r="Y9" s="10"/>
      <c r="Z9" s="10"/>
      <c r="AA9" s="10"/>
      <c r="AB9" s="10"/>
      <c r="AC9" s="8"/>
      <c r="AD9" s="8"/>
      <c r="AE9" s="8"/>
    </row>
    <row r="10" spans="1:31" ht="17">
      <c r="A10" s="4" t="s">
        <v>6</v>
      </c>
      <c r="B10" s="4" t="s">
        <v>41</v>
      </c>
      <c r="C10" s="13" t="s">
        <v>15</v>
      </c>
      <c r="D10" s="8"/>
      <c r="E10" s="8" t="s">
        <v>88</v>
      </c>
      <c r="F10" s="4"/>
      <c r="G10" s="4"/>
      <c r="H10" s="4"/>
      <c r="I10" s="4"/>
      <c r="J10" s="4"/>
      <c r="K10" s="8"/>
      <c r="L10" s="8"/>
      <c r="M10" s="8"/>
      <c r="N10" s="8"/>
      <c r="O10" s="8"/>
      <c r="P10" s="8"/>
      <c r="Q10" s="8"/>
      <c r="R10" s="8"/>
      <c r="S10" s="10"/>
      <c r="T10" s="10"/>
      <c r="U10" s="10"/>
      <c r="V10" s="10"/>
      <c r="W10" s="10"/>
      <c r="X10" s="10"/>
      <c r="Y10" s="10"/>
      <c r="Z10" s="10"/>
      <c r="AA10" s="10"/>
      <c r="AB10" s="10"/>
      <c r="AC10" s="8"/>
      <c r="AD10" s="8"/>
      <c r="AE10" s="8"/>
    </row>
    <row r="11" spans="1:31" ht="17">
      <c r="A11" s="4" t="s">
        <v>6</v>
      </c>
      <c r="B11" s="4" t="s">
        <v>42</v>
      </c>
      <c r="C11" s="13" t="s">
        <v>15</v>
      </c>
      <c r="D11" s="8"/>
      <c r="E11" s="8" t="s">
        <v>88</v>
      </c>
      <c r="F11" s="12"/>
      <c r="G11" s="12"/>
      <c r="H11" s="12"/>
      <c r="I11" s="12"/>
      <c r="J11" s="4"/>
      <c r="K11" s="8"/>
      <c r="L11" s="8"/>
      <c r="M11" s="8"/>
      <c r="N11" s="8"/>
      <c r="O11" s="8"/>
      <c r="P11" s="8"/>
      <c r="Q11" s="8"/>
      <c r="R11" s="8"/>
      <c r="S11" s="10"/>
      <c r="T11" s="10"/>
      <c r="U11" s="10"/>
      <c r="V11" s="10"/>
      <c r="W11" s="10"/>
      <c r="X11" s="10"/>
      <c r="Y11" s="10"/>
      <c r="Z11" s="10"/>
      <c r="AA11" s="10"/>
      <c r="AB11" s="10"/>
      <c r="AC11" s="8"/>
      <c r="AD11" s="8"/>
      <c r="AE11" s="8"/>
    </row>
    <row r="12" spans="1:31" ht="17">
      <c r="A12" s="4" t="s">
        <v>6</v>
      </c>
      <c r="B12" s="4" t="s">
        <v>43</v>
      </c>
      <c r="C12" s="13" t="s">
        <v>15</v>
      </c>
      <c r="D12" s="7"/>
      <c r="E12" s="8" t="s">
        <v>88</v>
      </c>
      <c r="F12" s="4"/>
      <c r="G12" s="4"/>
      <c r="H12" s="4"/>
      <c r="I12" s="4"/>
      <c r="J12" s="4"/>
      <c r="K12" s="8"/>
      <c r="L12" s="8"/>
      <c r="M12" s="8"/>
      <c r="N12" s="8"/>
      <c r="O12" s="8"/>
      <c r="P12" s="8"/>
      <c r="Q12" s="8"/>
      <c r="R12" s="8"/>
      <c r="S12" s="10"/>
      <c r="T12" s="10"/>
      <c r="U12" s="10"/>
      <c r="V12" s="10"/>
      <c r="W12" s="10"/>
      <c r="X12" s="10"/>
      <c r="Y12" s="10"/>
      <c r="Z12" s="10"/>
      <c r="AA12" s="10"/>
      <c r="AB12" s="10"/>
      <c r="AC12" s="8"/>
      <c r="AD12" s="8"/>
      <c r="AE12" s="8"/>
    </row>
    <row r="13" spans="1:31" ht="17">
      <c r="A13" s="4" t="s">
        <v>6</v>
      </c>
      <c r="B13" s="4" t="s">
        <v>44</v>
      </c>
      <c r="C13" s="13" t="s">
        <v>15</v>
      </c>
      <c r="D13" s="8"/>
      <c r="E13" s="8" t="s">
        <v>88</v>
      </c>
      <c r="F13" s="4"/>
      <c r="G13" s="4"/>
      <c r="H13" s="4"/>
      <c r="I13" s="4"/>
      <c r="J13" s="4"/>
      <c r="K13" s="8"/>
      <c r="L13" s="8"/>
      <c r="M13" s="8"/>
      <c r="N13" s="8"/>
      <c r="O13" s="8"/>
      <c r="P13" s="8"/>
      <c r="Q13" s="8"/>
      <c r="R13" s="8"/>
      <c r="S13" s="10"/>
      <c r="T13" s="10"/>
      <c r="U13" s="10"/>
      <c r="V13" s="10"/>
      <c r="W13" s="10"/>
      <c r="X13" s="10"/>
      <c r="Y13" s="10"/>
      <c r="Z13" s="10"/>
      <c r="AA13" s="10"/>
      <c r="AB13" s="10"/>
      <c r="AC13" s="8"/>
      <c r="AD13" s="8"/>
      <c r="AE13" s="8"/>
    </row>
    <row r="14" spans="1:31" ht="17">
      <c r="A14" s="4" t="s">
        <v>6</v>
      </c>
      <c r="B14" s="4" t="s">
        <v>45</v>
      </c>
      <c r="C14" s="13" t="s">
        <v>15</v>
      </c>
      <c r="D14" s="13"/>
      <c r="E14" s="8" t="s">
        <v>88</v>
      </c>
      <c r="F14" s="4"/>
      <c r="G14" s="4"/>
      <c r="H14" s="4"/>
      <c r="I14" s="4"/>
      <c r="J14" s="4"/>
      <c r="K14" s="8"/>
      <c r="L14" s="8"/>
      <c r="M14" s="8"/>
      <c r="N14" s="8"/>
      <c r="O14" s="8"/>
      <c r="P14" s="8"/>
      <c r="Q14" s="8"/>
      <c r="R14" s="8"/>
      <c r="S14" s="10"/>
      <c r="T14" s="10"/>
      <c r="U14" s="10"/>
      <c r="V14" s="10"/>
      <c r="W14" s="10"/>
      <c r="X14" s="10"/>
      <c r="Y14" s="10"/>
      <c r="Z14" s="10"/>
      <c r="AA14" s="10"/>
      <c r="AB14" s="10"/>
      <c r="AC14" s="8"/>
      <c r="AD14" s="8"/>
      <c r="AE14" s="8"/>
    </row>
    <row r="15" spans="1:31" ht="17">
      <c r="A15" s="4" t="s">
        <v>6</v>
      </c>
      <c r="B15" s="4" t="s">
        <v>68</v>
      </c>
      <c r="C15" s="13" t="s">
        <v>15</v>
      </c>
      <c r="D15" s="13"/>
      <c r="E15" s="8" t="s">
        <v>88</v>
      </c>
      <c r="F15" s="4"/>
      <c r="G15" s="4"/>
      <c r="H15" s="4"/>
      <c r="I15" s="4"/>
      <c r="J15" s="4"/>
      <c r="K15" s="8"/>
      <c r="L15" s="8"/>
      <c r="M15" s="8"/>
      <c r="N15" s="8"/>
      <c r="O15" s="8"/>
      <c r="P15" s="8"/>
      <c r="Q15" s="8"/>
      <c r="R15" s="8"/>
      <c r="S15" s="10"/>
      <c r="T15" s="10"/>
      <c r="U15" s="10"/>
      <c r="V15" s="10"/>
      <c r="W15" s="10"/>
      <c r="X15" s="10"/>
      <c r="Y15" s="10"/>
      <c r="Z15" s="10"/>
      <c r="AA15" s="10"/>
      <c r="AB15" s="10"/>
      <c r="AC15" s="8"/>
      <c r="AD15" s="8"/>
      <c r="AE15" s="8"/>
    </row>
    <row r="16" spans="1:31" ht="17">
      <c r="A16" s="4" t="s">
        <v>6</v>
      </c>
      <c r="B16" s="4" t="s">
        <v>69</v>
      </c>
      <c r="C16" s="13" t="s">
        <v>15</v>
      </c>
      <c r="D16" s="13"/>
      <c r="E16" s="8" t="s">
        <v>88</v>
      </c>
      <c r="F16" s="4"/>
      <c r="G16" s="4"/>
      <c r="H16" s="4"/>
      <c r="I16" s="4"/>
      <c r="J16" s="4"/>
      <c r="K16" s="8"/>
      <c r="L16" s="8"/>
      <c r="M16" s="8"/>
      <c r="N16" s="8"/>
      <c r="O16" s="8"/>
      <c r="P16" s="8"/>
      <c r="Q16" s="8"/>
      <c r="R16" s="8"/>
      <c r="S16" s="10"/>
      <c r="T16" s="10"/>
      <c r="U16" s="10"/>
      <c r="V16" s="10"/>
      <c r="W16" s="10"/>
      <c r="X16" s="10"/>
      <c r="Y16" s="10"/>
      <c r="Z16" s="10"/>
      <c r="AA16" s="10"/>
      <c r="AB16" s="10"/>
      <c r="AC16" s="8"/>
      <c r="AD16" s="8"/>
      <c r="AE16" s="8"/>
    </row>
    <row r="17" spans="1:31" ht="17">
      <c r="A17" s="4" t="s">
        <v>6</v>
      </c>
      <c r="B17" s="4" t="s">
        <v>70</v>
      </c>
      <c r="C17" s="13" t="s">
        <v>15</v>
      </c>
      <c r="D17" s="13"/>
      <c r="E17" s="8" t="s">
        <v>88</v>
      </c>
      <c r="F17" s="4"/>
      <c r="G17" s="4"/>
      <c r="H17" s="4"/>
      <c r="I17" s="4"/>
      <c r="J17" s="4"/>
      <c r="K17" s="8"/>
      <c r="L17" s="8"/>
      <c r="M17" s="8"/>
      <c r="N17" s="8"/>
      <c r="O17" s="8"/>
      <c r="P17" s="8"/>
      <c r="Q17" s="8"/>
      <c r="R17" s="8"/>
      <c r="S17" s="10"/>
      <c r="T17" s="10"/>
      <c r="U17" s="10"/>
      <c r="V17" s="10"/>
      <c r="W17" s="10"/>
      <c r="X17" s="10"/>
      <c r="Y17" s="10"/>
      <c r="Z17" s="10"/>
      <c r="AA17" s="10"/>
      <c r="AB17" s="10"/>
      <c r="AC17" s="8"/>
      <c r="AD17" s="8"/>
      <c r="AE17" s="8"/>
    </row>
    <row r="18" spans="1:31" ht="17">
      <c r="A18" s="4" t="s">
        <v>6</v>
      </c>
      <c r="B18" s="4" t="s">
        <v>71</v>
      </c>
      <c r="C18" s="13" t="s">
        <v>15</v>
      </c>
      <c r="D18" s="13"/>
      <c r="E18" s="8" t="s">
        <v>88</v>
      </c>
      <c r="F18" s="4"/>
      <c r="G18" s="4"/>
      <c r="H18" s="4"/>
      <c r="I18" s="4"/>
      <c r="J18" s="4"/>
      <c r="K18" s="8"/>
      <c r="L18" s="8"/>
      <c r="M18" s="8"/>
      <c r="N18" s="8"/>
      <c r="O18" s="8"/>
      <c r="P18" s="8"/>
      <c r="Q18" s="8"/>
      <c r="R18" s="8"/>
      <c r="S18" s="10"/>
      <c r="T18" s="10"/>
      <c r="U18" s="10"/>
      <c r="V18" s="10"/>
      <c r="W18" s="10"/>
      <c r="X18" s="10"/>
      <c r="Y18" s="10"/>
      <c r="Z18" s="10"/>
      <c r="AA18" s="10"/>
      <c r="AB18" s="10"/>
      <c r="AC18" s="8"/>
      <c r="AD18" s="8"/>
      <c r="AE18" s="8"/>
    </row>
    <row r="19" spans="1:31" ht="17">
      <c r="A19" s="4" t="s">
        <v>6</v>
      </c>
      <c r="B19" s="4" t="s">
        <v>72</v>
      </c>
      <c r="C19" s="13" t="s">
        <v>15</v>
      </c>
      <c r="D19" s="13"/>
      <c r="E19" s="8" t="s">
        <v>88</v>
      </c>
      <c r="F19" s="4"/>
      <c r="G19" s="4"/>
      <c r="H19" s="4"/>
      <c r="I19" s="4"/>
      <c r="J19" s="4"/>
      <c r="K19" s="8"/>
      <c r="L19" s="8"/>
      <c r="M19" s="8"/>
      <c r="N19" s="8"/>
      <c r="O19" s="8"/>
      <c r="P19" s="8"/>
      <c r="Q19" s="8"/>
      <c r="R19" s="8"/>
      <c r="S19" s="10"/>
      <c r="T19" s="10"/>
      <c r="U19" s="10"/>
      <c r="V19" s="10"/>
      <c r="W19" s="10"/>
      <c r="X19" s="10"/>
      <c r="Y19" s="10"/>
      <c r="Z19" s="10"/>
      <c r="AA19" s="10"/>
      <c r="AB19" s="10"/>
      <c r="AC19" s="8"/>
      <c r="AD19" s="8"/>
      <c r="AE19" s="8"/>
    </row>
    <row r="20" spans="1:31" ht="255">
      <c r="A20" s="4" t="s">
        <v>6</v>
      </c>
      <c r="B20" s="4" t="s">
        <v>17</v>
      </c>
      <c r="C20" s="15" t="s">
        <v>14</v>
      </c>
      <c r="D20" s="15" t="s">
        <v>14</v>
      </c>
      <c r="E20" s="8" t="s">
        <v>65</v>
      </c>
      <c r="F20" s="4">
        <v>0</v>
      </c>
      <c r="G20" s="4">
        <v>1</v>
      </c>
      <c r="H20" s="4">
        <v>1</v>
      </c>
      <c r="I20" s="4">
        <v>0</v>
      </c>
      <c r="J20" s="4" t="s">
        <v>704</v>
      </c>
      <c r="K20" s="8" t="s">
        <v>23</v>
      </c>
      <c r="L20" s="8">
        <v>0</v>
      </c>
      <c r="M20" s="8">
        <v>0</v>
      </c>
      <c r="N20" s="8" t="s">
        <v>65</v>
      </c>
      <c r="O20" s="8" t="s">
        <v>65</v>
      </c>
      <c r="P20" s="8">
        <v>113</v>
      </c>
      <c r="Q20" s="8" t="s">
        <v>1023</v>
      </c>
      <c r="R20" s="8" t="s">
        <v>1017</v>
      </c>
      <c r="S20" s="10" t="s">
        <v>32</v>
      </c>
      <c r="T20" s="11" t="s">
        <v>1037</v>
      </c>
      <c r="U20" s="10" t="s">
        <v>340</v>
      </c>
      <c r="V20" s="10" t="s">
        <v>339</v>
      </c>
      <c r="W20" s="10" t="s">
        <v>1061</v>
      </c>
      <c r="X20" s="10" t="s">
        <v>65</v>
      </c>
      <c r="Y20" s="10">
        <v>1</v>
      </c>
      <c r="Z20" s="10" t="s">
        <v>682</v>
      </c>
      <c r="AA20" s="10" t="s">
        <v>723</v>
      </c>
      <c r="AB20" s="10" t="s">
        <v>723</v>
      </c>
      <c r="AC20" s="8"/>
      <c r="AD20" s="16" t="s">
        <v>24</v>
      </c>
      <c r="AE20" s="17" t="s">
        <v>348</v>
      </c>
    </row>
    <row r="21" spans="1:31" ht="17">
      <c r="A21" s="4" t="s">
        <v>6</v>
      </c>
      <c r="B21" s="4" t="s">
        <v>73</v>
      </c>
      <c r="C21" s="13" t="s">
        <v>15</v>
      </c>
      <c r="D21" s="15"/>
      <c r="E21" s="8" t="s">
        <v>88</v>
      </c>
      <c r="F21" s="4"/>
      <c r="G21" s="4"/>
      <c r="H21" s="4"/>
      <c r="I21" s="4"/>
      <c r="J21" s="4"/>
      <c r="K21" s="8"/>
      <c r="L21" s="8"/>
      <c r="M21" s="8"/>
      <c r="N21" s="8"/>
      <c r="O21" s="8"/>
      <c r="P21" s="8"/>
      <c r="Q21" s="8"/>
      <c r="R21" s="8"/>
      <c r="S21" s="10"/>
      <c r="T21" s="11"/>
      <c r="U21" s="11"/>
      <c r="V21" s="10"/>
      <c r="W21" s="10"/>
      <c r="X21" s="10"/>
      <c r="Y21" s="10"/>
      <c r="Z21" s="10"/>
      <c r="AA21" s="10"/>
      <c r="AB21" s="10"/>
      <c r="AC21" s="8"/>
      <c r="AD21" s="16"/>
      <c r="AE21" s="17"/>
    </row>
    <row r="22" spans="1:31" ht="17">
      <c r="A22" s="4" t="s">
        <v>6</v>
      </c>
      <c r="B22" s="4" t="s">
        <v>57</v>
      </c>
      <c r="C22" s="13" t="s">
        <v>15</v>
      </c>
      <c r="D22" s="7"/>
      <c r="E22" s="8" t="s">
        <v>88</v>
      </c>
      <c r="F22" s="4"/>
      <c r="G22" s="4"/>
      <c r="H22" s="4"/>
      <c r="I22" s="4"/>
      <c r="J22" s="4"/>
      <c r="K22" s="8"/>
      <c r="L22" s="8"/>
      <c r="M22" s="8"/>
      <c r="N22" s="8"/>
      <c r="O22" s="8"/>
      <c r="P22" s="8"/>
      <c r="Q22" s="8"/>
      <c r="R22" s="8"/>
      <c r="S22" s="10"/>
      <c r="T22" s="11"/>
      <c r="U22" s="11"/>
      <c r="V22" s="10"/>
      <c r="W22" s="10"/>
      <c r="X22" s="10"/>
      <c r="Y22" s="10"/>
      <c r="Z22" s="10"/>
      <c r="AA22" s="10"/>
      <c r="AB22" s="10"/>
      <c r="AC22" s="8"/>
      <c r="AD22" s="8"/>
      <c r="AE22" s="8"/>
    </row>
    <row r="23" spans="1:31" ht="255">
      <c r="A23" s="4" t="s">
        <v>6</v>
      </c>
      <c r="B23" s="4" t="s">
        <v>46</v>
      </c>
      <c r="C23" s="15" t="s">
        <v>14</v>
      </c>
      <c r="D23" s="15" t="s">
        <v>14</v>
      </c>
      <c r="E23" s="8" t="s">
        <v>65</v>
      </c>
      <c r="F23" s="4">
        <v>0</v>
      </c>
      <c r="G23" s="4">
        <v>1</v>
      </c>
      <c r="H23" s="4">
        <v>1</v>
      </c>
      <c r="I23" s="4">
        <v>0</v>
      </c>
      <c r="J23" s="4" t="s">
        <v>344</v>
      </c>
      <c r="K23" s="8" t="s">
        <v>23</v>
      </c>
      <c r="L23" s="8">
        <v>0</v>
      </c>
      <c r="M23" s="8">
        <v>0</v>
      </c>
      <c r="N23" s="8" t="s">
        <v>65</v>
      </c>
      <c r="O23" s="8" t="s">
        <v>353</v>
      </c>
      <c r="P23" s="8">
        <v>459</v>
      </c>
      <c r="Q23" s="8" t="s">
        <v>1027</v>
      </c>
      <c r="R23" s="8" t="s">
        <v>368</v>
      </c>
      <c r="S23" s="10" t="s">
        <v>341</v>
      </c>
      <c r="T23" s="10" t="s">
        <v>1038</v>
      </c>
      <c r="U23" s="10" t="s">
        <v>354</v>
      </c>
      <c r="V23" s="10" t="s">
        <v>65</v>
      </c>
      <c r="W23" s="10" t="s">
        <v>1068</v>
      </c>
      <c r="X23" s="10"/>
      <c r="Y23" s="10">
        <v>1</v>
      </c>
      <c r="Z23" s="10" t="s">
        <v>682</v>
      </c>
      <c r="AA23" s="10" t="s">
        <v>723</v>
      </c>
      <c r="AB23" s="10" t="s">
        <v>723</v>
      </c>
      <c r="AC23" s="8"/>
      <c r="AD23" s="28" t="s">
        <v>349</v>
      </c>
      <c r="AE23" s="8" t="s">
        <v>347</v>
      </c>
    </row>
    <row r="24" spans="1:31" ht="17">
      <c r="A24" s="4" t="s">
        <v>6</v>
      </c>
      <c r="B24" s="4" t="s">
        <v>20</v>
      </c>
      <c r="C24" s="13" t="s">
        <v>15</v>
      </c>
      <c r="D24" s="8"/>
      <c r="E24" s="8" t="s">
        <v>298</v>
      </c>
      <c r="F24" s="4"/>
      <c r="G24" s="4"/>
      <c r="H24" s="4"/>
      <c r="I24" s="4"/>
      <c r="J24" s="4"/>
      <c r="K24" s="8"/>
      <c r="L24" s="8"/>
      <c r="M24" s="8"/>
      <c r="N24" s="8"/>
      <c r="O24" s="8"/>
      <c r="P24" s="8"/>
      <c r="Q24" s="8"/>
      <c r="R24" s="8"/>
      <c r="S24" s="10"/>
      <c r="T24" s="10"/>
      <c r="U24" s="10"/>
      <c r="V24" s="10"/>
      <c r="W24" s="10"/>
      <c r="X24" s="10"/>
      <c r="Y24" s="10"/>
      <c r="Z24" s="10"/>
      <c r="AA24" s="10"/>
      <c r="AB24" s="10"/>
      <c r="AC24" s="8"/>
      <c r="AD24" s="8"/>
      <c r="AE24" s="8"/>
    </row>
    <row r="25" spans="1:31" ht="17">
      <c r="A25" s="4" t="s">
        <v>6</v>
      </c>
      <c r="B25" s="4" t="s">
        <v>47</v>
      </c>
      <c r="C25" s="13" t="s">
        <v>15</v>
      </c>
      <c r="D25" s="8"/>
      <c r="E25" s="8" t="s">
        <v>88</v>
      </c>
      <c r="F25" s="12"/>
      <c r="G25" s="12"/>
      <c r="H25" s="12"/>
      <c r="I25" s="12"/>
      <c r="J25" s="4"/>
      <c r="K25" s="8"/>
      <c r="L25" s="8"/>
      <c r="M25" s="8"/>
      <c r="N25" s="8"/>
      <c r="O25" s="8"/>
      <c r="P25" s="8"/>
      <c r="Q25" s="8"/>
      <c r="R25" s="8"/>
      <c r="S25" s="10"/>
      <c r="T25" s="10"/>
      <c r="U25" s="10"/>
      <c r="V25" s="10"/>
      <c r="W25" s="10"/>
      <c r="X25" s="10"/>
      <c r="Y25" s="10"/>
      <c r="Z25" s="10"/>
      <c r="AA25" s="10"/>
      <c r="AB25" s="10"/>
      <c r="AC25" s="8"/>
      <c r="AD25" s="8"/>
      <c r="AE25" s="8"/>
    </row>
    <row r="26" spans="1:31" ht="221">
      <c r="A26" s="4" t="s">
        <v>6</v>
      </c>
      <c r="B26" s="4" t="s">
        <v>19</v>
      </c>
      <c r="C26" s="15" t="s">
        <v>14</v>
      </c>
      <c r="D26" s="15" t="s">
        <v>14</v>
      </c>
      <c r="E26" s="8" t="s">
        <v>65</v>
      </c>
      <c r="F26" s="4">
        <v>0</v>
      </c>
      <c r="G26" s="4">
        <v>1</v>
      </c>
      <c r="H26" s="4">
        <v>0</v>
      </c>
      <c r="I26" s="4">
        <v>0</v>
      </c>
      <c r="J26" s="4" t="s">
        <v>344</v>
      </c>
      <c r="K26" s="8" t="s">
        <v>23</v>
      </c>
      <c r="L26" s="8">
        <v>1</v>
      </c>
      <c r="M26" s="8" t="s">
        <v>65</v>
      </c>
      <c r="N26" s="8" t="s">
        <v>343</v>
      </c>
      <c r="O26" s="8" t="s">
        <v>65</v>
      </c>
      <c r="P26" s="8">
        <v>71025</v>
      </c>
      <c r="Q26" s="8" t="s">
        <v>363</v>
      </c>
      <c r="R26" s="8" t="s">
        <v>345</v>
      </c>
      <c r="S26" s="10" t="s">
        <v>342</v>
      </c>
      <c r="T26" s="10" t="s">
        <v>1057</v>
      </c>
      <c r="U26" s="10" t="s">
        <v>361</v>
      </c>
      <c r="V26" s="10" t="s">
        <v>65</v>
      </c>
      <c r="W26" s="10" t="s">
        <v>1067</v>
      </c>
      <c r="X26" s="10" t="s">
        <v>65</v>
      </c>
      <c r="Y26" s="10">
        <v>1</v>
      </c>
      <c r="Z26" s="10" t="s">
        <v>682</v>
      </c>
      <c r="AA26" s="10" t="s">
        <v>723</v>
      </c>
      <c r="AB26" s="10" t="s">
        <v>723</v>
      </c>
      <c r="AC26" s="8"/>
      <c r="AD26" s="28" t="s">
        <v>90</v>
      </c>
      <c r="AE26" s="8" t="s">
        <v>346</v>
      </c>
    </row>
    <row r="27" spans="1:31" ht="17">
      <c r="A27" s="4" t="s">
        <v>6</v>
      </c>
      <c r="B27" s="4" t="s">
        <v>48</v>
      </c>
      <c r="C27" s="13" t="s">
        <v>15</v>
      </c>
      <c r="D27" s="8"/>
      <c r="E27" s="8" t="s">
        <v>88</v>
      </c>
      <c r="F27" s="4"/>
      <c r="G27" s="4"/>
      <c r="H27" s="4"/>
      <c r="I27" s="4"/>
      <c r="J27" s="4"/>
      <c r="K27" s="8"/>
      <c r="L27" s="8"/>
      <c r="M27" s="8"/>
      <c r="N27" s="8"/>
      <c r="O27" s="8"/>
      <c r="P27" s="8"/>
      <c r="Q27" s="8"/>
      <c r="R27" s="8"/>
      <c r="S27" s="10"/>
      <c r="T27" s="10"/>
      <c r="U27" s="10"/>
      <c r="V27" s="10"/>
      <c r="W27" s="10"/>
      <c r="X27" s="10"/>
      <c r="Y27" s="10"/>
      <c r="Z27" s="10"/>
      <c r="AA27" s="10"/>
      <c r="AB27" s="10"/>
      <c r="AC27" s="8"/>
      <c r="AD27" s="8"/>
      <c r="AE27" s="8"/>
    </row>
    <row r="28" spans="1:31" ht="17">
      <c r="A28" s="4" t="s">
        <v>6</v>
      </c>
      <c r="B28" s="4" t="s">
        <v>49</v>
      </c>
      <c r="C28" s="13" t="s">
        <v>15</v>
      </c>
      <c r="D28" s="8"/>
      <c r="E28" s="22" t="s">
        <v>88</v>
      </c>
      <c r="F28" s="4"/>
      <c r="G28" s="4"/>
      <c r="H28" s="4"/>
      <c r="I28" s="4"/>
      <c r="J28" s="4"/>
      <c r="K28" s="8"/>
      <c r="L28" s="8"/>
      <c r="M28" s="8"/>
      <c r="N28" s="8"/>
      <c r="O28" s="8"/>
      <c r="P28" s="8"/>
      <c r="Q28" s="8"/>
      <c r="R28" s="8"/>
      <c r="S28" s="4"/>
      <c r="T28" s="4"/>
      <c r="U28" s="4"/>
      <c r="V28" s="4"/>
      <c r="W28" s="4"/>
      <c r="X28" s="4"/>
      <c r="Y28" s="4"/>
      <c r="Z28" s="4"/>
      <c r="AA28" s="4"/>
      <c r="AB28" s="4"/>
      <c r="AC28" s="8"/>
      <c r="AD28" s="8"/>
      <c r="AE28" s="8"/>
    </row>
    <row r="29" spans="1:31" ht="17">
      <c r="A29" s="4" t="s">
        <v>6</v>
      </c>
      <c r="B29" s="4" t="s">
        <v>50</v>
      </c>
      <c r="C29" s="13" t="s">
        <v>15</v>
      </c>
      <c r="D29" s="8"/>
      <c r="E29" s="8" t="s">
        <v>88</v>
      </c>
      <c r="F29" s="4"/>
      <c r="G29" s="4"/>
      <c r="H29" s="4"/>
      <c r="I29" s="4"/>
      <c r="J29" s="4"/>
      <c r="K29" s="8"/>
      <c r="L29" s="8"/>
      <c r="M29" s="8"/>
      <c r="N29" s="8"/>
      <c r="O29" s="8"/>
      <c r="P29" s="8"/>
      <c r="Q29" s="8"/>
      <c r="R29" s="8"/>
      <c r="S29" s="4"/>
      <c r="T29" s="4"/>
      <c r="U29" s="4"/>
      <c r="V29" s="4"/>
      <c r="W29" s="4"/>
      <c r="X29" s="4"/>
      <c r="Y29" s="4"/>
      <c r="Z29" s="4"/>
      <c r="AA29" s="4"/>
      <c r="AB29" s="4"/>
      <c r="AC29" s="8"/>
      <c r="AD29" s="8"/>
      <c r="AE29" s="8"/>
    </row>
    <row r="30" spans="1:31" ht="17">
      <c r="A30" s="4" t="s">
        <v>6</v>
      </c>
      <c r="B30" s="4" t="s">
        <v>51</v>
      </c>
      <c r="C30" s="13" t="s">
        <v>15</v>
      </c>
      <c r="D30" s="8"/>
      <c r="E30" s="8" t="s">
        <v>88</v>
      </c>
      <c r="F30" s="4"/>
      <c r="G30" s="4"/>
      <c r="H30" s="4"/>
      <c r="I30" s="4"/>
      <c r="J30" s="4"/>
      <c r="K30" s="8"/>
      <c r="L30" s="8"/>
      <c r="M30" s="8"/>
      <c r="N30" s="8"/>
      <c r="O30" s="8"/>
      <c r="P30" s="8"/>
      <c r="Q30" s="8"/>
      <c r="R30" s="8"/>
      <c r="S30" s="4"/>
      <c r="T30" s="4"/>
      <c r="U30" s="4"/>
      <c r="V30" s="4"/>
      <c r="W30" s="4"/>
      <c r="X30" s="4"/>
      <c r="Y30" s="4"/>
      <c r="Z30" s="4"/>
      <c r="AA30" s="4"/>
      <c r="AB30" s="4"/>
      <c r="AC30" s="8"/>
      <c r="AD30" s="8"/>
      <c r="AE30" s="8"/>
    </row>
    <row r="31" spans="1:31" ht="17">
      <c r="A31" s="4" t="s">
        <v>6</v>
      </c>
      <c r="B31" s="4" t="s">
        <v>91</v>
      </c>
      <c r="C31" s="13" t="s">
        <v>15</v>
      </c>
      <c r="D31" s="8"/>
      <c r="E31" s="8" t="s">
        <v>88</v>
      </c>
      <c r="F31" s="4"/>
      <c r="G31" s="4"/>
      <c r="H31" s="4"/>
      <c r="I31" s="4"/>
      <c r="J31" s="4"/>
      <c r="K31" s="8"/>
      <c r="L31" s="8"/>
      <c r="M31" s="8"/>
      <c r="N31" s="8"/>
      <c r="O31" s="8"/>
      <c r="P31" s="8"/>
      <c r="Q31" s="8"/>
      <c r="R31" s="8"/>
      <c r="S31" s="4"/>
      <c r="T31" s="4"/>
      <c r="U31" s="4"/>
      <c r="V31" s="4"/>
      <c r="W31" s="4"/>
      <c r="X31" s="4"/>
      <c r="Y31" s="4"/>
      <c r="Z31" s="4"/>
      <c r="AA31" s="4"/>
      <c r="AB31" s="4"/>
      <c r="AC31" s="8"/>
      <c r="AD31" s="8"/>
      <c r="AE31" s="8"/>
    </row>
    <row r="32" spans="1:31" ht="17">
      <c r="A32" s="4" t="s">
        <v>6</v>
      </c>
      <c r="B32" s="4" t="s">
        <v>52</v>
      </c>
      <c r="C32" s="13" t="s">
        <v>15</v>
      </c>
      <c r="D32" s="8"/>
      <c r="E32" s="8" t="s">
        <v>88</v>
      </c>
      <c r="F32" s="4"/>
      <c r="G32" s="4"/>
      <c r="H32" s="4"/>
      <c r="I32" s="4"/>
      <c r="J32" s="4"/>
      <c r="K32" s="8"/>
      <c r="L32" s="8"/>
      <c r="M32" s="8"/>
      <c r="N32" s="8"/>
      <c r="O32" s="8"/>
      <c r="P32" s="8"/>
      <c r="Q32" s="8"/>
      <c r="R32" s="8"/>
      <c r="S32" s="4"/>
      <c r="T32" s="4"/>
      <c r="U32" s="4"/>
      <c r="V32" s="4"/>
      <c r="W32" s="4"/>
      <c r="X32" s="4"/>
      <c r="Y32" s="4"/>
      <c r="Z32" s="4"/>
      <c r="AA32" s="4"/>
      <c r="AB32" s="4"/>
      <c r="AC32" s="8"/>
      <c r="AD32" s="8"/>
      <c r="AE32" s="8"/>
    </row>
    <row r="33" spans="1:31" ht="17">
      <c r="A33" s="4" t="s">
        <v>6</v>
      </c>
      <c r="B33" s="4" t="s">
        <v>53</v>
      </c>
      <c r="C33" s="13" t="s">
        <v>15</v>
      </c>
      <c r="D33" s="8"/>
      <c r="E33" s="8" t="s">
        <v>88</v>
      </c>
      <c r="F33" s="4"/>
      <c r="G33" s="4"/>
      <c r="H33" s="4"/>
      <c r="I33" s="4"/>
      <c r="J33" s="4"/>
      <c r="K33" s="8"/>
      <c r="L33" s="8"/>
      <c r="M33" s="8"/>
      <c r="N33" s="8"/>
      <c r="O33" s="8"/>
      <c r="P33" s="8"/>
      <c r="Q33" s="8"/>
      <c r="R33" s="8"/>
      <c r="S33" s="4"/>
      <c r="T33" s="4"/>
      <c r="U33" s="4"/>
      <c r="V33" s="4"/>
      <c r="W33" s="4"/>
      <c r="X33" s="4"/>
      <c r="Y33" s="4"/>
      <c r="Z33" s="4"/>
      <c r="AA33" s="4"/>
      <c r="AB33" s="4"/>
      <c r="AC33" s="8"/>
      <c r="AD33" s="8"/>
      <c r="AE33" s="8"/>
    </row>
    <row r="34" spans="1:31" ht="17">
      <c r="A34" s="4" t="s">
        <v>6</v>
      </c>
      <c r="B34" s="4" t="s">
        <v>54</v>
      </c>
      <c r="C34" s="13" t="s">
        <v>15</v>
      </c>
      <c r="D34" s="8"/>
      <c r="E34" s="8" t="s">
        <v>88</v>
      </c>
      <c r="F34" s="4"/>
      <c r="G34" s="4"/>
      <c r="H34" s="4"/>
      <c r="I34" s="4"/>
      <c r="J34" s="4"/>
      <c r="K34" s="8"/>
      <c r="L34" s="8"/>
      <c r="M34" s="8"/>
      <c r="N34" s="8"/>
      <c r="O34" s="8"/>
      <c r="P34" s="8"/>
      <c r="Q34" s="8"/>
      <c r="R34" s="8"/>
      <c r="S34" s="4"/>
      <c r="T34" s="4"/>
      <c r="U34" s="4"/>
      <c r="V34" s="4"/>
      <c r="W34" s="4"/>
      <c r="X34" s="4"/>
      <c r="Y34" s="4"/>
      <c r="Z34" s="4"/>
      <c r="AA34" s="4"/>
      <c r="AB34" s="4"/>
      <c r="AC34" s="8"/>
      <c r="AD34" s="8"/>
      <c r="AE34" s="8"/>
    </row>
    <row r="35" spans="1:31" ht="17">
      <c r="A35" s="4" t="s">
        <v>6</v>
      </c>
      <c r="B35" s="4" t="s">
        <v>55</v>
      </c>
      <c r="C35" s="13" t="s">
        <v>15</v>
      </c>
      <c r="D35" s="8"/>
      <c r="E35" s="8" t="s">
        <v>88</v>
      </c>
      <c r="F35" s="4"/>
      <c r="G35" s="4"/>
      <c r="H35" s="4"/>
      <c r="I35" s="4"/>
      <c r="J35" s="4"/>
      <c r="K35" s="8"/>
      <c r="L35" s="8"/>
      <c r="M35" s="8"/>
      <c r="N35" s="8"/>
      <c r="O35" s="8"/>
      <c r="P35" s="8"/>
      <c r="Q35" s="8"/>
      <c r="R35" s="8"/>
      <c r="S35" s="4"/>
      <c r="T35" s="4"/>
      <c r="U35" s="4"/>
      <c r="V35" s="4"/>
      <c r="W35" s="4"/>
      <c r="X35" s="4"/>
      <c r="Y35" s="4"/>
      <c r="Z35" s="4"/>
      <c r="AA35" s="4"/>
      <c r="AB35" s="4"/>
      <c r="AC35" s="8"/>
      <c r="AD35" s="8"/>
      <c r="AE35" s="8"/>
    </row>
    <row r="36" spans="1:31" ht="17">
      <c r="A36" s="4" t="s">
        <v>6</v>
      </c>
      <c r="B36" s="4" t="s">
        <v>56</v>
      </c>
      <c r="C36" s="13" t="s">
        <v>15</v>
      </c>
      <c r="D36" s="8"/>
      <c r="E36" s="8" t="s">
        <v>88</v>
      </c>
      <c r="F36" s="4"/>
      <c r="G36" s="4"/>
      <c r="H36" s="4"/>
      <c r="I36" s="4"/>
      <c r="J36" s="4"/>
      <c r="K36" s="8"/>
      <c r="L36" s="8"/>
      <c r="M36" s="8"/>
      <c r="N36" s="8"/>
      <c r="O36" s="8"/>
      <c r="P36" s="8"/>
      <c r="Q36" s="8"/>
      <c r="R36" s="8"/>
      <c r="S36" s="4"/>
      <c r="T36" s="4"/>
      <c r="U36" s="4"/>
      <c r="V36" s="4"/>
      <c r="W36" s="4"/>
      <c r="X36" s="4"/>
      <c r="Y36" s="4"/>
      <c r="Z36" s="4"/>
      <c r="AA36" s="4"/>
      <c r="AB36" s="4"/>
      <c r="AC36" s="8"/>
      <c r="AD36" s="8"/>
      <c r="AE36" s="8"/>
    </row>
    <row r="37" spans="1:31" ht="17">
      <c r="A37" s="4" t="s">
        <v>6</v>
      </c>
      <c r="B37" s="4" t="s">
        <v>74</v>
      </c>
      <c r="C37" s="13" t="s">
        <v>15</v>
      </c>
      <c r="D37" s="8"/>
      <c r="E37" s="8" t="s">
        <v>89</v>
      </c>
      <c r="F37" s="4"/>
      <c r="G37" s="4"/>
      <c r="H37" s="4"/>
      <c r="I37" s="4"/>
      <c r="J37" s="4"/>
      <c r="K37" s="8"/>
      <c r="L37" s="8"/>
      <c r="M37" s="8"/>
      <c r="N37" s="8"/>
      <c r="O37" s="8"/>
      <c r="P37" s="8"/>
      <c r="Q37" s="8"/>
      <c r="R37" s="8"/>
      <c r="S37" s="4"/>
      <c r="T37" s="4"/>
      <c r="U37" s="4"/>
      <c r="V37" s="4"/>
      <c r="W37" s="4"/>
      <c r="X37" s="4"/>
      <c r="Y37" s="4"/>
      <c r="Z37" s="4"/>
      <c r="AA37" s="4"/>
      <c r="AB37" s="4"/>
      <c r="AC37" s="8"/>
      <c r="AD37" s="8"/>
      <c r="AE37" s="8"/>
    </row>
    <row r="38" spans="1:31" ht="17">
      <c r="A38" s="4" t="s">
        <v>6</v>
      </c>
      <c r="B38" s="4" t="s">
        <v>75</v>
      </c>
      <c r="C38" s="13" t="s">
        <v>15</v>
      </c>
      <c r="D38" s="8"/>
      <c r="E38" s="8" t="s">
        <v>88</v>
      </c>
      <c r="F38" s="4"/>
      <c r="G38" s="4"/>
      <c r="H38" s="4"/>
      <c r="I38" s="4"/>
      <c r="J38" s="4"/>
      <c r="K38" s="8"/>
      <c r="L38" s="8"/>
      <c r="M38" s="8"/>
      <c r="N38" s="8"/>
      <c r="O38" s="8"/>
      <c r="P38" s="8"/>
      <c r="Q38" s="8"/>
      <c r="R38" s="8"/>
      <c r="S38" s="4"/>
      <c r="T38" s="4"/>
      <c r="U38" s="4"/>
      <c r="V38" s="4"/>
      <c r="W38" s="4"/>
      <c r="X38" s="4"/>
      <c r="Y38" s="4"/>
      <c r="Z38" s="4"/>
      <c r="AA38" s="4"/>
      <c r="AB38" s="4"/>
      <c r="AC38" s="8"/>
      <c r="AD38" s="8"/>
      <c r="AE38" s="8"/>
    </row>
    <row r="39" spans="1:31" ht="17">
      <c r="A39" s="4" t="s">
        <v>6</v>
      </c>
      <c r="B39" s="4" t="s">
        <v>76</v>
      </c>
      <c r="C39" s="13" t="s">
        <v>15</v>
      </c>
      <c r="D39" s="8"/>
      <c r="E39" s="8" t="s">
        <v>88</v>
      </c>
      <c r="F39" s="4"/>
      <c r="G39" s="4"/>
      <c r="H39" s="4"/>
      <c r="I39" s="4"/>
      <c r="J39" s="4"/>
      <c r="K39" s="8"/>
      <c r="L39" s="8"/>
      <c r="M39" s="8"/>
      <c r="N39" s="8"/>
      <c r="O39" s="8"/>
      <c r="P39" s="8"/>
      <c r="Q39" s="8"/>
      <c r="R39" s="8"/>
      <c r="S39" s="4"/>
      <c r="T39" s="4"/>
      <c r="U39" s="4"/>
      <c r="V39" s="4"/>
      <c r="W39" s="4"/>
      <c r="X39" s="4"/>
      <c r="Y39" s="4"/>
      <c r="Z39" s="4"/>
      <c r="AA39" s="4"/>
      <c r="AB39" s="4"/>
      <c r="AC39" s="8"/>
      <c r="AD39" s="8"/>
      <c r="AE39" s="8"/>
    </row>
    <row r="40" spans="1:31" ht="17">
      <c r="A40" s="4" t="s">
        <v>6</v>
      </c>
      <c r="B40" s="4" t="s">
        <v>77</v>
      </c>
      <c r="C40" s="13" t="s">
        <v>15</v>
      </c>
      <c r="D40" s="8"/>
      <c r="E40" s="8" t="s">
        <v>88</v>
      </c>
      <c r="F40" s="4"/>
      <c r="G40" s="4"/>
      <c r="H40" s="4"/>
      <c r="I40" s="4"/>
      <c r="J40" s="4"/>
      <c r="K40" s="8"/>
      <c r="L40" s="8"/>
      <c r="M40" s="8"/>
      <c r="N40" s="8"/>
      <c r="O40" s="8"/>
      <c r="P40" s="8"/>
      <c r="Q40" s="8"/>
      <c r="R40" s="8"/>
      <c r="S40" s="4"/>
      <c r="T40" s="4"/>
      <c r="U40" s="4"/>
      <c r="V40" s="4"/>
      <c r="W40" s="4"/>
      <c r="X40" s="4"/>
      <c r="Y40" s="4"/>
      <c r="Z40" s="4"/>
      <c r="AA40" s="4"/>
      <c r="AB40" s="4"/>
      <c r="AC40" s="8"/>
      <c r="AD40" s="8"/>
      <c r="AE40" s="8"/>
    </row>
    <row r="41" spans="1:31" ht="17">
      <c r="A41" s="4" t="s">
        <v>6</v>
      </c>
      <c r="B41" s="4" t="s">
        <v>78</v>
      </c>
      <c r="C41" s="13" t="s">
        <v>15</v>
      </c>
      <c r="D41" s="8"/>
      <c r="E41" s="8" t="s">
        <v>88</v>
      </c>
      <c r="F41" s="4"/>
      <c r="G41" s="4"/>
      <c r="H41" s="4"/>
      <c r="I41" s="4"/>
      <c r="J41" s="4"/>
      <c r="K41" s="8"/>
      <c r="L41" s="8"/>
      <c r="M41" s="8"/>
      <c r="N41" s="8"/>
      <c r="O41" s="8"/>
      <c r="P41" s="8"/>
      <c r="Q41" s="8"/>
      <c r="R41" s="8"/>
      <c r="S41" s="4"/>
      <c r="T41" s="4"/>
      <c r="U41" s="4"/>
      <c r="V41" s="4"/>
      <c r="W41" s="4"/>
      <c r="X41" s="4"/>
      <c r="Y41" s="4"/>
      <c r="Z41" s="4"/>
      <c r="AA41" s="4"/>
      <c r="AB41" s="4"/>
      <c r="AC41" s="8"/>
      <c r="AD41" s="8"/>
      <c r="AE41" s="8"/>
    </row>
    <row r="42" spans="1:31" ht="17">
      <c r="A42" s="4" t="s">
        <v>6</v>
      </c>
      <c r="B42" s="4" t="s">
        <v>79</v>
      </c>
      <c r="C42" s="13" t="s">
        <v>15</v>
      </c>
      <c r="D42" s="8"/>
      <c r="E42" s="8" t="s">
        <v>88</v>
      </c>
      <c r="F42" s="4"/>
      <c r="G42" s="4"/>
      <c r="H42" s="4"/>
      <c r="I42" s="4"/>
      <c r="J42" s="4"/>
      <c r="K42" s="8"/>
      <c r="L42" s="8"/>
      <c r="M42" s="8"/>
      <c r="N42" s="8"/>
      <c r="O42" s="8"/>
      <c r="P42" s="8"/>
      <c r="Q42" s="8"/>
      <c r="R42" s="8"/>
      <c r="S42" s="4"/>
      <c r="T42" s="4"/>
      <c r="U42" s="4"/>
      <c r="V42" s="4"/>
      <c r="W42" s="4"/>
      <c r="X42" s="4"/>
      <c r="Y42" s="4"/>
      <c r="Z42" s="4"/>
      <c r="AA42" s="4"/>
      <c r="AB42" s="4"/>
      <c r="AC42" s="8"/>
      <c r="AD42" s="8"/>
      <c r="AE42" s="8"/>
    </row>
    <row r="43" spans="1:31" ht="17">
      <c r="A43" s="4" t="s">
        <v>6</v>
      </c>
      <c r="B43" s="4" t="s">
        <v>80</v>
      </c>
      <c r="C43" s="13" t="s">
        <v>15</v>
      </c>
      <c r="D43" s="8"/>
      <c r="E43" s="8" t="s">
        <v>88</v>
      </c>
      <c r="F43" s="4"/>
      <c r="G43" s="4"/>
      <c r="H43" s="4"/>
      <c r="I43" s="4"/>
      <c r="J43" s="4"/>
      <c r="K43" s="8"/>
      <c r="L43" s="8"/>
      <c r="M43" s="8"/>
      <c r="N43" s="8"/>
      <c r="O43" s="8"/>
      <c r="P43" s="8"/>
      <c r="Q43" s="8"/>
      <c r="R43" s="8"/>
      <c r="S43" s="4"/>
      <c r="T43" s="4"/>
      <c r="U43" s="4"/>
      <c r="V43" s="4"/>
      <c r="W43" s="4"/>
      <c r="X43" s="4"/>
      <c r="Y43" s="4"/>
      <c r="Z43" s="4"/>
      <c r="AA43" s="4"/>
      <c r="AB43" s="4"/>
      <c r="AC43" s="8"/>
      <c r="AD43" s="8"/>
      <c r="AE43" s="8"/>
    </row>
    <row r="44" spans="1:31" ht="17">
      <c r="A44" s="4" t="s">
        <v>6</v>
      </c>
      <c r="B44" s="4" t="s">
        <v>81</v>
      </c>
      <c r="C44" s="13" t="s">
        <v>15</v>
      </c>
      <c r="D44" s="8"/>
      <c r="E44" s="8" t="s">
        <v>88</v>
      </c>
      <c r="F44" s="4"/>
      <c r="G44" s="4"/>
      <c r="H44" s="4"/>
      <c r="I44" s="4"/>
      <c r="J44" s="4"/>
      <c r="K44" s="8"/>
      <c r="L44" s="8"/>
      <c r="M44" s="8"/>
      <c r="N44" s="8"/>
      <c r="O44" s="8"/>
      <c r="P44" s="8"/>
      <c r="Q44" s="8"/>
      <c r="R44" s="8"/>
      <c r="S44" s="4"/>
      <c r="T44" s="4"/>
      <c r="U44" s="4"/>
      <c r="V44" s="4"/>
      <c r="W44" s="4"/>
      <c r="X44" s="4"/>
      <c r="Y44" s="4"/>
      <c r="Z44" s="4"/>
      <c r="AA44" s="4"/>
      <c r="AB44" s="4"/>
      <c r="AC44" s="8"/>
      <c r="AD44" s="8"/>
      <c r="AE44" s="8"/>
    </row>
    <row r="45" spans="1:31" ht="17">
      <c r="A45" s="4" t="s">
        <v>6</v>
      </c>
      <c r="B45" s="4" t="s">
        <v>82</v>
      </c>
      <c r="C45" s="13" t="s">
        <v>15</v>
      </c>
      <c r="D45" s="8"/>
      <c r="E45" s="8" t="s">
        <v>88</v>
      </c>
      <c r="F45" s="4"/>
      <c r="G45" s="4"/>
      <c r="H45" s="4"/>
      <c r="I45" s="4"/>
      <c r="J45" s="4"/>
      <c r="K45" s="8"/>
      <c r="L45" s="8"/>
      <c r="M45" s="8"/>
      <c r="N45" s="8"/>
      <c r="O45" s="8"/>
      <c r="P45" s="8"/>
      <c r="Q45" s="8"/>
      <c r="R45" s="8"/>
      <c r="S45" s="4"/>
      <c r="T45" s="4"/>
      <c r="U45" s="4"/>
      <c r="V45" s="4"/>
      <c r="W45" s="4"/>
      <c r="X45" s="4"/>
      <c r="Y45" s="4"/>
      <c r="Z45" s="4"/>
      <c r="AA45" s="4"/>
      <c r="AB45" s="4"/>
      <c r="AC45" s="8"/>
      <c r="AD45" s="8"/>
      <c r="AE45" s="8"/>
    </row>
    <row r="46" spans="1:31" ht="17">
      <c r="A46" s="4" t="s">
        <v>6</v>
      </c>
      <c r="B46" s="4" t="s">
        <v>19</v>
      </c>
      <c r="C46" s="13" t="s">
        <v>15</v>
      </c>
      <c r="D46" s="8"/>
      <c r="E46" s="8" t="s">
        <v>18</v>
      </c>
      <c r="F46" s="4"/>
      <c r="G46" s="4"/>
      <c r="H46" s="4"/>
      <c r="I46" s="4"/>
      <c r="J46" s="4"/>
      <c r="K46" s="8"/>
      <c r="L46" s="8"/>
      <c r="M46" s="8"/>
      <c r="N46" s="8"/>
      <c r="O46" s="8"/>
      <c r="P46" s="8"/>
      <c r="Q46" s="8"/>
      <c r="R46" s="8"/>
      <c r="S46" s="4"/>
      <c r="T46" s="4"/>
      <c r="U46" s="4"/>
      <c r="V46" s="4"/>
      <c r="W46" s="4"/>
      <c r="X46" s="4"/>
      <c r="Y46" s="4"/>
      <c r="Z46" s="4"/>
      <c r="AA46" s="4"/>
      <c r="AB46" s="4"/>
      <c r="AC46" s="8"/>
      <c r="AD46" s="8"/>
      <c r="AE46" s="8"/>
    </row>
    <row r="47" spans="1:31" ht="17">
      <c r="A47" s="4" t="s">
        <v>6</v>
      </c>
      <c r="B47" s="4" t="s">
        <v>48</v>
      </c>
      <c r="C47" s="13" t="s">
        <v>15</v>
      </c>
      <c r="D47" s="8"/>
      <c r="E47" s="8" t="s">
        <v>88</v>
      </c>
      <c r="F47" s="4"/>
      <c r="G47" s="4"/>
      <c r="H47" s="4"/>
      <c r="I47" s="4"/>
      <c r="J47" s="4"/>
      <c r="K47" s="8"/>
      <c r="L47" s="8"/>
      <c r="M47" s="8"/>
      <c r="N47" s="8"/>
      <c r="O47" s="8"/>
      <c r="P47" s="8"/>
      <c r="Q47" s="8"/>
      <c r="R47" s="8"/>
      <c r="S47" s="4"/>
      <c r="T47" s="4"/>
      <c r="U47" s="4"/>
      <c r="V47" s="4"/>
      <c r="W47" s="4"/>
      <c r="X47" s="4"/>
      <c r="Y47" s="4"/>
      <c r="Z47" s="4"/>
      <c r="AA47" s="4"/>
      <c r="AB47" s="4"/>
      <c r="AC47" s="8"/>
      <c r="AD47" s="8"/>
      <c r="AE47" s="8"/>
    </row>
    <row r="48" spans="1:31" ht="289">
      <c r="A48" s="4" t="s">
        <v>7</v>
      </c>
      <c r="B48" s="2" t="s">
        <v>92</v>
      </c>
      <c r="C48" s="15" t="s">
        <v>14</v>
      </c>
      <c r="D48" s="15" t="s">
        <v>14</v>
      </c>
      <c r="E48" s="30" t="s">
        <v>65</v>
      </c>
      <c r="F48" s="4">
        <v>0</v>
      </c>
      <c r="G48" s="4">
        <v>1</v>
      </c>
      <c r="H48" s="4">
        <v>0</v>
      </c>
      <c r="I48" s="4">
        <v>0</v>
      </c>
      <c r="J48" s="4" t="s">
        <v>344</v>
      </c>
      <c r="K48" s="8" t="s">
        <v>23</v>
      </c>
      <c r="L48" s="8">
        <v>1</v>
      </c>
      <c r="M48" s="8">
        <v>1</v>
      </c>
      <c r="N48" s="8" t="s">
        <v>383</v>
      </c>
      <c r="O48" s="8" t="s">
        <v>388</v>
      </c>
      <c r="P48" s="8">
        <v>95935</v>
      </c>
      <c r="Q48" s="8" t="s">
        <v>362</v>
      </c>
      <c r="R48" s="8" t="s">
        <v>368</v>
      </c>
      <c r="S48" s="10" t="s">
        <v>387</v>
      </c>
      <c r="T48" s="4" t="s">
        <v>386</v>
      </c>
      <c r="U48" s="4" t="s">
        <v>361</v>
      </c>
      <c r="V48" s="10" t="s">
        <v>65</v>
      </c>
      <c r="W48" s="10" t="s">
        <v>1060</v>
      </c>
      <c r="X48" s="10"/>
      <c r="Y48" s="10">
        <v>0</v>
      </c>
      <c r="Z48" s="10"/>
      <c r="AA48" s="10" t="s">
        <v>65</v>
      </c>
      <c r="AB48" s="10" t="s">
        <v>65</v>
      </c>
      <c r="AC48" s="8"/>
      <c r="AD48" s="28" t="s">
        <v>385</v>
      </c>
      <c r="AE48" s="8" t="s">
        <v>384</v>
      </c>
    </row>
    <row r="49" spans="1:31" ht="255">
      <c r="A49" s="4" t="s">
        <v>7</v>
      </c>
      <c r="B49" s="2" t="s">
        <v>93</v>
      </c>
      <c r="C49" s="15" t="s">
        <v>14</v>
      </c>
      <c r="D49" s="15" t="s">
        <v>14</v>
      </c>
      <c r="E49" s="30" t="s">
        <v>65</v>
      </c>
      <c r="F49" s="4">
        <v>0</v>
      </c>
      <c r="G49" s="4">
        <v>0</v>
      </c>
      <c r="H49" s="4">
        <v>1</v>
      </c>
      <c r="I49" s="4">
        <v>0</v>
      </c>
      <c r="J49" s="4" t="s">
        <v>374</v>
      </c>
      <c r="K49" s="8" t="s">
        <v>23</v>
      </c>
      <c r="L49" s="8">
        <v>0</v>
      </c>
      <c r="M49" s="8">
        <v>1</v>
      </c>
      <c r="N49" s="8" t="s">
        <v>65</v>
      </c>
      <c r="O49" s="8" t="s">
        <v>65</v>
      </c>
      <c r="P49" s="8">
        <v>1562</v>
      </c>
      <c r="Q49" s="8" t="s">
        <v>396</v>
      </c>
      <c r="R49" s="8" t="s">
        <v>357</v>
      </c>
      <c r="S49" s="10" t="s">
        <v>398</v>
      </c>
      <c r="T49" s="4" t="s">
        <v>397</v>
      </c>
      <c r="U49" s="4" t="s">
        <v>393</v>
      </c>
      <c r="V49" s="10" t="s">
        <v>339</v>
      </c>
      <c r="W49" s="4" t="s">
        <v>399</v>
      </c>
      <c r="X49" s="4" t="s">
        <v>65</v>
      </c>
      <c r="Y49" s="10">
        <v>1</v>
      </c>
      <c r="Z49" s="10" t="s">
        <v>682</v>
      </c>
      <c r="AA49" s="10" t="s">
        <v>723</v>
      </c>
      <c r="AB49" s="10" t="s">
        <v>723</v>
      </c>
      <c r="AC49" s="8"/>
      <c r="AD49" s="8" t="s">
        <v>395</v>
      </c>
      <c r="AE49" s="8" t="s">
        <v>394</v>
      </c>
    </row>
    <row r="50" spans="1:31" ht="289">
      <c r="A50" s="4" t="s">
        <v>7</v>
      </c>
      <c r="B50" s="2" t="s">
        <v>94</v>
      </c>
      <c r="C50" s="15" t="s">
        <v>14</v>
      </c>
      <c r="D50" s="15" t="s">
        <v>14</v>
      </c>
      <c r="E50" s="30" t="s">
        <v>65</v>
      </c>
      <c r="F50" s="4">
        <v>1</v>
      </c>
      <c r="G50" s="4">
        <v>0</v>
      </c>
      <c r="H50" s="4">
        <v>0</v>
      </c>
      <c r="I50" s="4">
        <v>0</v>
      </c>
      <c r="J50" s="4" t="s">
        <v>344</v>
      </c>
      <c r="K50" s="8" t="s">
        <v>23</v>
      </c>
      <c r="L50" s="8">
        <v>1</v>
      </c>
      <c r="M50" s="8">
        <v>1</v>
      </c>
      <c r="N50" s="8" t="s">
        <v>404</v>
      </c>
      <c r="O50" s="8" t="s">
        <v>65</v>
      </c>
      <c r="P50" s="8">
        <v>12554</v>
      </c>
      <c r="Q50" s="8" t="s">
        <v>362</v>
      </c>
      <c r="R50" s="8" t="s">
        <v>420</v>
      </c>
      <c r="S50" s="10" t="s">
        <v>405</v>
      </c>
      <c r="T50" s="14" t="s">
        <v>402</v>
      </c>
      <c r="U50" s="10" t="s">
        <v>402</v>
      </c>
      <c r="V50" s="21" t="s">
        <v>339</v>
      </c>
      <c r="W50" s="10" t="s">
        <v>1021</v>
      </c>
      <c r="X50" s="10" t="s">
        <v>65</v>
      </c>
      <c r="Y50" s="10">
        <v>0</v>
      </c>
      <c r="Z50" s="10"/>
      <c r="AA50" s="10" t="s">
        <v>65</v>
      </c>
      <c r="AB50" s="10" t="s">
        <v>65</v>
      </c>
      <c r="AC50" s="8"/>
      <c r="AD50" s="8" t="s">
        <v>401</v>
      </c>
      <c r="AE50" s="8" t="s">
        <v>400</v>
      </c>
    </row>
    <row r="51" spans="1:31" ht="340">
      <c r="A51" s="4" t="s">
        <v>7</v>
      </c>
      <c r="B51" s="2" t="s">
        <v>95</v>
      </c>
      <c r="C51" s="15" t="s">
        <v>14</v>
      </c>
      <c r="D51" s="15" t="s">
        <v>14</v>
      </c>
      <c r="E51" s="30" t="s">
        <v>65</v>
      </c>
      <c r="F51" s="4">
        <v>0</v>
      </c>
      <c r="G51" s="4">
        <v>0</v>
      </c>
      <c r="H51" s="4">
        <v>1</v>
      </c>
      <c r="I51" s="4">
        <v>0</v>
      </c>
      <c r="J51" s="4" t="s">
        <v>344</v>
      </c>
      <c r="K51" s="8" t="s">
        <v>23</v>
      </c>
      <c r="L51" s="8">
        <v>1</v>
      </c>
      <c r="M51" s="8">
        <v>1</v>
      </c>
      <c r="N51" s="8" t="s">
        <v>411</v>
      </c>
      <c r="O51" s="8" t="s">
        <v>65</v>
      </c>
      <c r="P51" s="8">
        <v>578</v>
      </c>
      <c r="Q51" s="8" t="s">
        <v>413</v>
      </c>
      <c r="R51" s="8" t="s">
        <v>412</v>
      </c>
      <c r="S51" s="29" t="s">
        <v>408</v>
      </c>
      <c r="T51" s="10" t="s">
        <v>409</v>
      </c>
      <c r="U51" s="10" t="s">
        <v>410</v>
      </c>
      <c r="V51" s="10" t="s">
        <v>65</v>
      </c>
      <c r="W51" s="10" t="s">
        <v>1069</v>
      </c>
      <c r="X51" s="10" t="s">
        <v>65</v>
      </c>
      <c r="Y51" s="10">
        <v>1</v>
      </c>
      <c r="Z51" s="10" t="s">
        <v>682</v>
      </c>
      <c r="AA51" s="10" t="s">
        <v>1035</v>
      </c>
      <c r="AB51" s="10" t="s">
        <v>1031</v>
      </c>
      <c r="AC51" s="8"/>
      <c r="AD51" s="28" t="s">
        <v>406</v>
      </c>
      <c r="AE51" s="8" t="s">
        <v>407</v>
      </c>
    </row>
    <row r="52" spans="1:31" ht="289">
      <c r="A52" s="4" t="s">
        <v>7</v>
      </c>
      <c r="B52" s="2" t="s">
        <v>96</v>
      </c>
      <c r="C52" s="15" t="s">
        <v>14</v>
      </c>
      <c r="D52" s="15" t="s">
        <v>14</v>
      </c>
      <c r="E52" s="30" t="s">
        <v>65</v>
      </c>
      <c r="F52" s="4">
        <v>1</v>
      </c>
      <c r="G52" s="4">
        <v>0</v>
      </c>
      <c r="H52" s="4">
        <v>0</v>
      </c>
      <c r="I52" s="4">
        <v>0</v>
      </c>
      <c r="J52" s="4" t="s">
        <v>405</v>
      </c>
      <c r="K52" s="8" t="s">
        <v>23</v>
      </c>
      <c r="L52" s="8">
        <v>0</v>
      </c>
      <c r="M52" s="8">
        <v>0</v>
      </c>
      <c r="N52" s="8" t="s">
        <v>65</v>
      </c>
      <c r="O52" s="8" t="s">
        <v>65</v>
      </c>
      <c r="P52" s="8">
        <v>674</v>
      </c>
      <c r="Q52" s="8" t="s">
        <v>362</v>
      </c>
      <c r="R52" s="8" t="s">
        <v>420</v>
      </c>
      <c r="S52" s="10" t="s">
        <v>419</v>
      </c>
      <c r="T52" s="10" t="s">
        <v>416</v>
      </c>
      <c r="U52" s="10" t="s">
        <v>417</v>
      </c>
      <c r="V52" s="10" t="s">
        <v>65</v>
      </c>
      <c r="W52" s="10" t="s">
        <v>418</v>
      </c>
      <c r="X52" s="10" t="s">
        <v>65</v>
      </c>
      <c r="Y52" s="10">
        <v>0</v>
      </c>
      <c r="Z52" s="10"/>
      <c r="AA52" s="10" t="s">
        <v>65</v>
      </c>
      <c r="AB52" s="10" t="s">
        <v>65</v>
      </c>
      <c r="AC52" s="8"/>
      <c r="AD52" s="8" t="s">
        <v>415</v>
      </c>
      <c r="AE52" s="8" t="s">
        <v>414</v>
      </c>
    </row>
    <row r="53" spans="1:31" ht="17">
      <c r="A53" s="4" t="s">
        <v>7</v>
      </c>
      <c r="B53" s="2" t="s">
        <v>97</v>
      </c>
      <c r="C53" s="13" t="s">
        <v>15</v>
      </c>
      <c r="D53" s="8"/>
      <c r="E53" s="8" t="s">
        <v>298</v>
      </c>
      <c r="F53" s="12"/>
      <c r="G53" s="12"/>
      <c r="H53" s="12"/>
      <c r="I53" s="12"/>
      <c r="J53" s="4"/>
      <c r="K53" s="8"/>
      <c r="L53" s="8"/>
      <c r="M53" s="8"/>
      <c r="N53" s="8"/>
      <c r="O53" s="8"/>
      <c r="P53" s="8"/>
      <c r="Q53" s="8"/>
      <c r="R53" s="8"/>
      <c r="S53" s="10"/>
      <c r="T53" s="10"/>
      <c r="U53" s="10"/>
      <c r="V53" s="10"/>
      <c r="W53" s="10"/>
      <c r="X53" s="10"/>
      <c r="Y53" s="10"/>
      <c r="Z53" s="10"/>
      <c r="AA53" s="10"/>
      <c r="AB53" s="10"/>
      <c r="AC53" s="8"/>
      <c r="AD53" s="8"/>
      <c r="AE53" s="8"/>
    </row>
    <row r="54" spans="1:31" ht="323">
      <c r="A54" s="4" t="s">
        <v>7</v>
      </c>
      <c r="B54" s="2" t="s">
        <v>98</v>
      </c>
      <c r="C54" s="15" t="s">
        <v>14</v>
      </c>
      <c r="D54" s="15" t="s">
        <v>14</v>
      </c>
      <c r="E54" s="30" t="s">
        <v>65</v>
      </c>
      <c r="F54" s="4">
        <v>0</v>
      </c>
      <c r="G54" s="4">
        <v>0</v>
      </c>
      <c r="H54" s="4">
        <v>1</v>
      </c>
      <c r="I54" s="4">
        <v>0</v>
      </c>
      <c r="J54" s="4" t="s">
        <v>344</v>
      </c>
      <c r="K54" s="8" t="s">
        <v>23</v>
      </c>
      <c r="L54" s="8">
        <v>1</v>
      </c>
      <c r="M54" s="8">
        <v>0</v>
      </c>
      <c r="N54" s="8" t="s">
        <v>423</v>
      </c>
      <c r="O54" s="8" t="s">
        <v>424</v>
      </c>
      <c r="P54" s="8">
        <v>2038</v>
      </c>
      <c r="Q54" s="8" t="s">
        <v>425</v>
      </c>
      <c r="R54" s="8" t="s">
        <v>428</v>
      </c>
      <c r="S54" s="10" t="s">
        <v>426</v>
      </c>
      <c r="T54" s="10" t="s">
        <v>1056</v>
      </c>
      <c r="U54" s="10" t="s">
        <v>393</v>
      </c>
      <c r="V54" s="10" t="s">
        <v>339</v>
      </c>
      <c r="W54" s="10" t="s">
        <v>427</v>
      </c>
      <c r="X54" s="10"/>
      <c r="Y54" s="10">
        <v>1</v>
      </c>
      <c r="Z54" s="10" t="s">
        <v>682</v>
      </c>
      <c r="AA54" s="10" t="s">
        <v>723</v>
      </c>
      <c r="AB54" s="10" t="s">
        <v>723</v>
      </c>
      <c r="AC54" s="8"/>
      <c r="AD54" s="8" t="s">
        <v>422</v>
      </c>
      <c r="AE54" s="8" t="s">
        <v>421</v>
      </c>
    </row>
    <row r="55" spans="1:31" ht="17">
      <c r="A55" s="4" t="s">
        <v>7</v>
      </c>
      <c r="B55" s="2" t="s">
        <v>99</v>
      </c>
      <c r="C55" s="13" t="s">
        <v>15</v>
      </c>
      <c r="D55" s="8"/>
      <c r="E55" s="8" t="s">
        <v>298</v>
      </c>
      <c r="F55" s="4"/>
      <c r="G55" s="4"/>
      <c r="H55" s="4"/>
      <c r="I55" s="4"/>
      <c r="J55" s="4"/>
      <c r="K55" s="8"/>
      <c r="L55" s="8"/>
      <c r="M55" s="8"/>
      <c r="N55" s="8"/>
      <c r="O55" s="8"/>
      <c r="P55" s="8"/>
      <c r="Q55" s="8"/>
      <c r="R55" s="8"/>
      <c r="S55" s="10"/>
      <c r="T55" s="10"/>
      <c r="U55" s="10"/>
      <c r="V55" s="10"/>
      <c r="W55" s="10"/>
      <c r="X55" s="10"/>
      <c r="Y55" s="10"/>
      <c r="Z55" s="10"/>
      <c r="AA55" s="10"/>
      <c r="AB55" s="10"/>
      <c r="AC55" s="8"/>
      <c r="AD55" s="8"/>
      <c r="AE55" s="8"/>
    </row>
    <row r="56" spans="1:31" ht="409.6">
      <c r="A56" s="4" t="s">
        <v>10</v>
      </c>
      <c r="B56" s="2" t="s">
        <v>100</v>
      </c>
      <c r="C56" s="15" t="s">
        <v>14</v>
      </c>
      <c r="D56" s="15" t="s">
        <v>14</v>
      </c>
      <c r="E56" s="30" t="s">
        <v>65</v>
      </c>
      <c r="F56" s="4">
        <v>0</v>
      </c>
      <c r="G56" s="4">
        <v>1</v>
      </c>
      <c r="H56" s="4">
        <v>0</v>
      </c>
      <c r="I56" s="4">
        <v>0</v>
      </c>
      <c r="J56" s="4" t="s">
        <v>344</v>
      </c>
      <c r="K56" s="8" t="s">
        <v>23</v>
      </c>
      <c r="L56" s="8">
        <v>1</v>
      </c>
      <c r="M56" s="8">
        <v>0</v>
      </c>
      <c r="N56" s="8" t="s">
        <v>433</v>
      </c>
      <c r="O56" s="8" t="s">
        <v>65</v>
      </c>
      <c r="P56" s="8">
        <v>311</v>
      </c>
      <c r="Q56" s="8" t="s">
        <v>362</v>
      </c>
      <c r="R56" s="8" t="s">
        <v>368</v>
      </c>
      <c r="S56" s="10" t="s">
        <v>434</v>
      </c>
      <c r="T56" s="10" t="s">
        <v>432</v>
      </c>
      <c r="U56" s="10" t="s">
        <v>393</v>
      </c>
      <c r="V56" s="10" t="s">
        <v>1077</v>
      </c>
      <c r="W56" s="10" t="s">
        <v>431</v>
      </c>
      <c r="X56" s="10" t="s">
        <v>65</v>
      </c>
      <c r="Y56" s="10">
        <v>0</v>
      </c>
      <c r="Z56" s="10"/>
      <c r="AA56" s="10" t="s">
        <v>65</v>
      </c>
      <c r="AB56" s="10" t="s">
        <v>65</v>
      </c>
      <c r="AC56" s="8"/>
      <c r="AD56" s="8" t="s">
        <v>430</v>
      </c>
      <c r="AE56" s="8" t="s">
        <v>429</v>
      </c>
    </row>
    <row r="57" spans="1:31" ht="17">
      <c r="A57" s="4" t="s">
        <v>7</v>
      </c>
      <c r="B57" s="2" t="s">
        <v>101</v>
      </c>
      <c r="C57" s="25" t="s">
        <v>15</v>
      </c>
      <c r="D57" s="26"/>
      <c r="E57" s="26" t="s">
        <v>298</v>
      </c>
      <c r="F57" s="12"/>
      <c r="G57" s="12"/>
      <c r="H57" s="12"/>
      <c r="I57" s="12"/>
      <c r="J57" s="4"/>
      <c r="K57" s="8"/>
      <c r="L57" s="8"/>
      <c r="M57" s="8"/>
      <c r="N57" s="8"/>
      <c r="O57" s="8"/>
      <c r="P57" s="8"/>
      <c r="Q57" s="8"/>
      <c r="R57" s="8"/>
      <c r="S57" s="10"/>
      <c r="T57" s="10"/>
      <c r="U57" s="10"/>
      <c r="V57" s="10"/>
      <c r="W57" s="10"/>
      <c r="X57" s="10"/>
      <c r="Y57" s="10"/>
      <c r="Z57" s="10"/>
      <c r="AA57" s="10"/>
      <c r="AB57" s="10"/>
      <c r="AC57" s="8"/>
      <c r="AD57" s="8"/>
      <c r="AE57" s="8"/>
    </row>
    <row r="58" spans="1:31" ht="17">
      <c r="A58" s="4" t="s">
        <v>7</v>
      </c>
      <c r="B58" s="2" t="s">
        <v>102</v>
      </c>
      <c r="C58" s="25" t="s">
        <v>15</v>
      </c>
      <c r="D58" s="26"/>
      <c r="E58" s="26" t="s">
        <v>298</v>
      </c>
      <c r="F58" s="4"/>
      <c r="G58" s="4"/>
      <c r="H58" s="4"/>
      <c r="I58" s="4"/>
      <c r="J58" s="4"/>
      <c r="K58" s="8"/>
      <c r="L58" s="8"/>
      <c r="M58" s="8"/>
      <c r="N58" s="8"/>
      <c r="O58" s="8"/>
      <c r="P58" s="8"/>
      <c r="Q58" s="8"/>
      <c r="R58" s="8"/>
      <c r="S58" s="10"/>
      <c r="T58" s="10"/>
      <c r="U58" s="10"/>
      <c r="V58" s="10"/>
      <c r="W58" s="10"/>
      <c r="X58" s="10"/>
      <c r="Y58" s="10"/>
      <c r="Z58" s="10"/>
      <c r="AA58" s="10"/>
      <c r="AB58" s="10"/>
      <c r="AC58" s="8"/>
      <c r="AD58" s="8"/>
      <c r="AE58" s="8"/>
    </row>
    <row r="59" spans="1:31" ht="17">
      <c r="A59" s="4" t="s">
        <v>7</v>
      </c>
      <c r="B59" s="2" t="s">
        <v>103</v>
      </c>
      <c r="C59" s="8" t="s">
        <v>290</v>
      </c>
      <c r="D59" s="8"/>
      <c r="E59" s="8" t="s">
        <v>290</v>
      </c>
      <c r="F59" s="4"/>
      <c r="G59" s="4"/>
      <c r="H59" s="4"/>
      <c r="I59" s="4"/>
      <c r="J59" s="4"/>
      <c r="K59" s="8"/>
      <c r="L59" s="8"/>
      <c r="M59" s="8"/>
      <c r="N59" s="8"/>
      <c r="O59" s="8"/>
      <c r="P59" s="8"/>
      <c r="Q59" s="8"/>
      <c r="R59" s="8"/>
      <c r="S59" s="10"/>
      <c r="T59" s="10"/>
      <c r="U59" s="10"/>
      <c r="V59" s="10"/>
      <c r="W59" s="10"/>
      <c r="X59" s="10"/>
      <c r="Y59" s="10"/>
      <c r="Z59" s="10"/>
      <c r="AA59" s="10"/>
      <c r="AB59" s="10"/>
      <c r="AC59" s="8"/>
      <c r="AD59" s="8"/>
      <c r="AE59" s="8"/>
    </row>
    <row r="60" spans="1:31" ht="17">
      <c r="A60" s="4" t="s">
        <v>7</v>
      </c>
      <c r="B60" s="2" t="s">
        <v>104</v>
      </c>
      <c r="C60" s="25" t="s">
        <v>15</v>
      </c>
      <c r="D60" s="13"/>
      <c r="E60" s="8" t="s">
        <v>295</v>
      </c>
      <c r="F60" s="4"/>
      <c r="G60" s="4"/>
      <c r="H60" s="4"/>
      <c r="I60" s="4"/>
      <c r="J60" s="4"/>
      <c r="K60" s="8"/>
      <c r="L60" s="8"/>
      <c r="M60" s="8"/>
      <c r="N60" s="8"/>
      <c r="O60" s="8"/>
      <c r="P60" s="8"/>
      <c r="Q60" s="8"/>
      <c r="R60" s="8"/>
      <c r="S60" s="10"/>
      <c r="T60" s="10"/>
      <c r="U60" s="10"/>
      <c r="V60" s="10"/>
      <c r="W60" s="10"/>
      <c r="X60" s="10"/>
      <c r="Y60" s="10"/>
      <c r="Z60" s="10"/>
      <c r="AA60" s="10"/>
      <c r="AB60" s="10"/>
      <c r="AC60" s="8"/>
      <c r="AD60" s="8"/>
      <c r="AE60" s="8"/>
    </row>
    <row r="61" spans="1:31" ht="17">
      <c r="A61" s="4" t="s">
        <v>10</v>
      </c>
      <c r="B61" s="2" t="s">
        <v>105</v>
      </c>
      <c r="C61" s="8" t="s">
        <v>290</v>
      </c>
      <c r="D61" s="8"/>
      <c r="E61" s="8" t="s">
        <v>290</v>
      </c>
      <c r="F61" s="4"/>
      <c r="G61" s="4"/>
      <c r="H61" s="4"/>
      <c r="I61" s="4"/>
      <c r="J61" s="4"/>
      <c r="K61" s="8"/>
      <c r="L61" s="8"/>
      <c r="M61" s="8"/>
      <c r="N61" s="8"/>
      <c r="O61" s="8"/>
      <c r="P61" s="8"/>
      <c r="Q61" s="8"/>
      <c r="R61" s="8"/>
      <c r="S61" s="10"/>
      <c r="T61" s="10"/>
      <c r="U61" s="10"/>
      <c r="V61" s="10"/>
      <c r="W61" s="10"/>
      <c r="X61" s="10"/>
      <c r="Y61" s="10"/>
      <c r="Z61" s="10"/>
      <c r="AA61" s="10"/>
      <c r="AB61" s="10"/>
      <c r="AC61" s="8"/>
      <c r="AD61" s="8"/>
      <c r="AE61" s="8"/>
    </row>
    <row r="62" spans="1:31" ht="17">
      <c r="A62" s="4" t="s">
        <v>7</v>
      </c>
      <c r="B62" s="2" t="s">
        <v>106</v>
      </c>
      <c r="C62" s="8" t="s">
        <v>290</v>
      </c>
      <c r="D62" s="8"/>
      <c r="E62" s="8" t="s">
        <v>290</v>
      </c>
      <c r="F62" s="4"/>
      <c r="G62" s="4"/>
      <c r="H62" s="4"/>
      <c r="I62" s="4"/>
      <c r="J62" s="4"/>
      <c r="K62" s="8"/>
      <c r="L62" s="8"/>
      <c r="M62" s="8"/>
      <c r="N62" s="8"/>
      <c r="O62" s="8"/>
      <c r="P62" s="8"/>
      <c r="Q62" s="8"/>
      <c r="R62" s="8"/>
      <c r="S62" s="10"/>
      <c r="T62" s="10"/>
      <c r="U62" s="10"/>
      <c r="V62" s="10"/>
      <c r="W62" s="10"/>
      <c r="X62" s="10"/>
      <c r="Y62" s="10"/>
      <c r="Z62" s="10"/>
      <c r="AA62" s="10"/>
      <c r="AB62" s="10"/>
      <c r="AC62" s="8"/>
      <c r="AD62" s="8"/>
      <c r="AE62" s="8"/>
    </row>
    <row r="63" spans="1:31" ht="17">
      <c r="A63" s="4" t="s">
        <v>7</v>
      </c>
      <c r="B63" s="2" t="s">
        <v>94</v>
      </c>
      <c r="C63" s="25" t="s">
        <v>15</v>
      </c>
      <c r="D63" s="13"/>
      <c r="E63" s="8" t="s">
        <v>295</v>
      </c>
      <c r="F63" s="4"/>
      <c r="G63" s="4"/>
      <c r="H63" s="4"/>
      <c r="I63" s="4"/>
      <c r="J63" s="4"/>
      <c r="K63" s="8"/>
      <c r="L63" s="8"/>
      <c r="M63" s="8"/>
      <c r="N63" s="8"/>
      <c r="O63" s="8"/>
      <c r="P63" s="8"/>
      <c r="Q63" s="8"/>
      <c r="R63" s="8"/>
      <c r="S63" s="10"/>
      <c r="T63" s="10"/>
      <c r="U63" s="10"/>
      <c r="V63" s="10"/>
      <c r="W63" s="10"/>
      <c r="X63" s="10"/>
      <c r="Y63" s="10"/>
      <c r="Z63" s="10"/>
      <c r="AA63" s="10"/>
      <c r="AB63" s="10"/>
      <c r="AC63" s="8"/>
      <c r="AD63" s="8"/>
      <c r="AE63" s="8"/>
    </row>
    <row r="64" spans="1:31" ht="272">
      <c r="A64" s="4" t="s">
        <v>10</v>
      </c>
      <c r="B64" s="2" t="s">
        <v>107</v>
      </c>
      <c r="C64" s="15" t="s">
        <v>14</v>
      </c>
      <c r="D64" s="15" t="s">
        <v>14</v>
      </c>
      <c r="E64" s="30" t="s">
        <v>65</v>
      </c>
      <c r="F64" s="4">
        <v>0</v>
      </c>
      <c r="G64" s="4">
        <v>1</v>
      </c>
      <c r="H64" s="4">
        <v>0</v>
      </c>
      <c r="I64" s="4">
        <v>0</v>
      </c>
      <c r="J64" s="4" t="s">
        <v>344</v>
      </c>
      <c r="K64" s="8" t="s">
        <v>682</v>
      </c>
      <c r="L64" s="8">
        <v>0</v>
      </c>
      <c r="M64" s="8">
        <v>0</v>
      </c>
      <c r="N64" s="8" t="s">
        <v>65</v>
      </c>
      <c r="O64" s="8" t="s">
        <v>438</v>
      </c>
      <c r="P64" s="8">
        <v>3522</v>
      </c>
      <c r="Q64" s="8" t="s">
        <v>437</v>
      </c>
      <c r="R64" s="8" t="s">
        <v>58</v>
      </c>
      <c r="S64" s="10" t="s">
        <v>440</v>
      </c>
      <c r="T64" s="10" t="s">
        <v>1085</v>
      </c>
      <c r="U64" s="10" t="s">
        <v>445</v>
      </c>
      <c r="V64" s="10" t="s">
        <v>339</v>
      </c>
      <c r="W64" s="10" t="s">
        <v>439</v>
      </c>
      <c r="X64" s="10"/>
      <c r="Y64" s="10">
        <v>1</v>
      </c>
      <c r="Z64" s="10" t="s">
        <v>682</v>
      </c>
      <c r="AA64" s="10" t="s">
        <v>1053</v>
      </c>
      <c r="AB64" s="10" t="s">
        <v>441</v>
      </c>
      <c r="AC64" s="8"/>
      <c r="AD64" s="28" t="s">
        <v>436</v>
      </c>
      <c r="AE64" s="8" t="s">
        <v>435</v>
      </c>
    </row>
    <row r="65" spans="1:31" ht="17">
      <c r="A65" s="4" t="s">
        <v>7</v>
      </c>
      <c r="B65" s="2" t="s">
        <v>108</v>
      </c>
      <c r="C65" s="25" t="s">
        <v>15</v>
      </c>
      <c r="D65" s="13"/>
      <c r="E65" s="8" t="s">
        <v>615</v>
      </c>
      <c r="F65" s="4"/>
      <c r="G65" s="4"/>
      <c r="H65" s="4"/>
      <c r="I65" s="4"/>
      <c r="J65" s="4"/>
      <c r="K65" s="8"/>
      <c r="L65" s="8"/>
      <c r="M65" s="8"/>
      <c r="N65" s="8"/>
      <c r="O65" s="8"/>
      <c r="P65" s="8"/>
      <c r="Q65" s="8"/>
      <c r="R65" s="8"/>
      <c r="S65" s="10"/>
      <c r="T65" s="10"/>
      <c r="U65" s="10"/>
      <c r="V65" s="10"/>
      <c r="W65" s="10"/>
      <c r="X65" s="10"/>
      <c r="Y65" s="10"/>
      <c r="Z65" s="10"/>
      <c r="AA65" s="10"/>
      <c r="AB65" s="10"/>
      <c r="AC65" s="8"/>
      <c r="AD65" s="8"/>
      <c r="AE65" s="8"/>
    </row>
    <row r="66" spans="1:31" ht="17">
      <c r="A66" s="4" t="s">
        <v>7</v>
      </c>
      <c r="B66" s="2" t="s">
        <v>109</v>
      </c>
      <c r="C66" s="25" t="s">
        <v>15</v>
      </c>
      <c r="D66" s="15"/>
      <c r="E66" s="30" t="s">
        <v>18</v>
      </c>
      <c r="F66" s="4"/>
      <c r="G66" s="4"/>
      <c r="H66" s="4"/>
      <c r="I66" s="4"/>
      <c r="J66" s="4"/>
      <c r="K66" s="8"/>
      <c r="L66" s="8"/>
      <c r="M66" s="8"/>
      <c r="N66" s="8"/>
      <c r="O66" s="8"/>
      <c r="P66" s="8"/>
      <c r="Q66" s="8"/>
      <c r="R66" s="8"/>
      <c r="S66" s="10"/>
      <c r="T66" s="11"/>
      <c r="U66" s="11"/>
      <c r="V66" s="10"/>
      <c r="W66" s="10"/>
      <c r="X66" s="10"/>
      <c r="Y66" s="10"/>
      <c r="Z66" s="10"/>
      <c r="AA66" s="10"/>
      <c r="AB66" s="10"/>
      <c r="AC66" s="28"/>
      <c r="AD66" s="16"/>
      <c r="AE66" s="17"/>
    </row>
    <row r="67" spans="1:31" ht="17">
      <c r="A67" s="4" t="s">
        <v>7</v>
      </c>
      <c r="B67" s="2" t="s">
        <v>110</v>
      </c>
      <c r="C67" s="25" t="s">
        <v>15</v>
      </c>
      <c r="D67" s="15"/>
      <c r="E67" s="8" t="s">
        <v>18</v>
      </c>
      <c r="F67" s="4"/>
      <c r="G67" s="4"/>
      <c r="H67" s="4"/>
      <c r="I67" s="4"/>
      <c r="J67" s="4"/>
      <c r="K67" s="8"/>
      <c r="L67" s="8"/>
      <c r="M67" s="8"/>
      <c r="N67" s="8"/>
      <c r="O67" s="8"/>
      <c r="P67" s="8"/>
      <c r="Q67" s="8"/>
      <c r="R67" s="8"/>
      <c r="S67" s="10"/>
      <c r="T67" s="11"/>
      <c r="U67" s="11"/>
      <c r="V67" s="10"/>
      <c r="W67" s="10"/>
      <c r="X67" s="10"/>
      <c r="Y67" s="10"/>
      <c r="Z67" s="10"/>
      <c r="AA67" s="10"/>
      <c r="AB67" s="10"/>
      <c r="AC67" s="8"/>
      <c r="AD67" s="16"/>
      <c r="AE67" s="17"/>
    </row>
    <row r="68" spans="1:31" ht="17">
      <c r="A68" s="4" t="s">
        <v>7</v>
      </c>
      <c r="B68" s="2" t="s">
        <v>288</v>
      </c>
      <c r="C68" s="25" t="s">
        <v>15</v>
      </c>
      <c r="D68" s="7"/>
      <c r="E68" s="8" t="s">
        <v>298</v>
      </c>
      <c r="F68" s="4"/>
      <c r="G68" s="4"/>
      <c r="H68" s="4"/>
      <c r="I68" s="4"/>
      <c r="J68" s="4"/>
      <c r="K68" s="8"/>
      <c r="L68" s="8"/>
      <c r="M68" s="8"/>
      <c r="N68" s="8"/>
      <c r="O68" s="8"/>
      <c r="P68" s="8"/>
      <c r="Q68" s="8"/>
      <c r="R68" s="8"/>
      <c r="S68" s="10"/>
      <c r="T68" s="11"/>
      <c r="U68" s="11"/>
      <c r="V68" s="10"/>
      <c r="W68" s="10"/>
      <c r="X68" s="10"/>
      <c r="Y68" s="10"/>
      <c r="Z68" s="10"/>
      <c r="AA68" s="10"/>
      <c r="AB68" s="10"/>
      <c r="AC68" s="8"/>
      <c r="AD68" s="8"/>
      <c r="AE68" s="8"/>
    </row>
    <row r="69" spans="1:31" ht="17">
      <c r="A69" s="4" t="s">
        <v>7</v>
      </c>
      <c r="B69" s="2" t="s">
        <v>111</v>
      </c>
      <c r="C69" s="8" t="s">
        <v>290</v>
      </c>
      <c r="D69" s="8"/>
      <c r="E69" s="8" t="s">
        <v>290</v>
      </c>
      <c r="F69" s="4"/>
      <c r="G69" s="4"/>
      <c r="H69" s="4"/>
      <c r="I69" s="4"/>
      <c r="J69" s="4"/>
      <c r="K69" s="8"/>
      <c r="L69" s="8"/>
      <c r="M69" s="8"/>
      <c r="N69" s="8"/>
      <c r="O69" s="8"/>
      <c r="P69" s="8"/>
      <c r="Q69" s="8"/>
      <c r="R69" s="8"/>
      <c r="S69" s="10"/>
      <c r="T69" s="10"/>
      <c r="U69" s="10"/>
      <c r="V69" s="10"/>
      <c r="W69" s="10"/>
      <c r="X69" s="10"/>
      <c r="Y69" s="10"/>
      <c r="Z69" s="10"/>
      <c r="AA69" s="10"/>
      <c r="AB69" s="10"/>
      <c r="AC69" s="8"/>
      <c r="AD69" s="8"/>
      <c r="AE69" s="8"/>
    </row>
    <row r="70" spans="1:31" ht="255">
      <c r="A70" s="4" t="s">
        <v>7</v>
      </c>
      <c r="B70" s="2" t="s">
        <v>112</v>
      </c>
      <c r="C70" s="15" t="s">
        <v>14</v>
      </c>
      <c r="D70" s="15" t="s">
        <v>14</v>
      </c>
      <c r="E70" s="31" t="s">
        <v>65</v>
      </c>
      <c r="F70" s="4">
        <v>0</v>
      </c>
      <c r="G70" s="4">
        <v>1</v>
      </c>
      <c r="H70" s="4">
        <v>0</v>
      </c>
      <c r="I70" s="4">
        <v>0</v>
      </c>
      <c r="J70" s="4" t="s">
        <v>344</v>
      </c>
      <c r="K70" s="8" t="s">
        <v>23</v>
      </c>
      <c r="L70" s="8">
        <v>0</v>
      </c>
      <c r="M70" s="8">
        <v>1</v>
      </c>
      <c r="N70" s="8" t="s">
        <v>65</v>
      </c>
      <c r="O70" s="8" t="s">
        <v>65</v>
      </c>
      <c r="P70" s="8">
        <v>300089</v>
      </c>
      <c r="Q70" s="8" t="s">
        <v>362</v>
      </c>
      <c r="R70" s="8" t="s">
        <v>368</v>
      </c>
      <c r="S70" s="10" t="s">
        <v>971</v>
      </c>
      <c r="T70" s="10" t="s">
        <v>444</v>
      </c>
      <c r="U70" s="10" t="s">
        <v>402</v>
      </c>
      <c r="V70" s="10" t="s">
        <v>65</v>
      </c>
      <c r="W70" s="10" t="s">
        <v>972</v>
      </c>
      <c r="X70" s="10" t="s">
        <v>65</v>
      </c>
      <c r="Y70" s="10">
        <v>0</v>
      </c>
      <c r="Z70" s="10"/>
      <c r="AA70" s="10" t="s">
        <v>65</v>
      </c>
      <c r="AB70" s="10" t="s">
        <v>65</v>
      </c>
      <c r="AC70" s="8"/>
      <c r="AD70" s="28" t="s">
        <v>443</v>
      </c>
      <c r="AE70" s="8" t="s">
        <v>442</v>
      </c>
    </row>
    <row r="71" spans="1:31" ht="255">
      <c r="A71" s="4" t="s">
        <v>7</v>
      </c>
      <c r="B71" s="2" t="s">
        <v>113</v>
      </c>
      <c r="C71" s="15" t="s">
        <v>14</v>
      </c>
      <c r="D71" s="15" t="s">
        <v>14</v>
      </c>
      <c r="E71" s="30" t="s">
        <v>65</v>
      </c>
      <c r="F71" s="11">
        <v>0</v>
      </c>
      <c r="G71" s="11">
        <v>1</v>
      </c>
      <c r="H71" s="11">
        <v>0</v>
      </c>
      <c r="I71" s="11">
        <v>0</v>
      </c>
      <c r="J71" s="11" t="s">
        <v>344</v>
      </c>
      <c r="K71" s="24" t="s">
        <v>23</v>
      </c>
      <c r="L71" s="8">
        <v>0</v>
      </c>
      <c r="M71" s="8">
        <v>0</v>
      </c>
      <c r="N71" s="8" t="s">
        <v>65</v>
      </c>
      <c r="O71" s="8" t="s">
        <v>65</v>
      </c>
      <c r="P71" s="8">
        <v>156</v>
      </c>
      <c r="Q71" s="8" t="s">
        <v>1025</v>
      </c>
      <c r="R71" s="8" t="s">
        <v>58</v>
      </c>
      <c r="S71" s="10" t="s">
        <v>65</v>
      </c>
      <c r="T71" s="10" t="s">
        <v>1074</v>
      </c>
      <c r="U71" s="10" t="s">
        <v>447</v>
      </c>
      <c r="V71" s="10" t="s">
        <v>339</v>
      </c>
      <c r="W71" s="10" t="s">
        <v>1062</v>
      </c>
      <c r="X71" s="10" t="s">
        <v>65</v>
      </c>
      <c r="Y71" s="10">
        <v>1</v>
      </c>
      <c r="Z71" s="10" t="s">
        <v>682</v>
      </c>
      <c r="AA71" s="10" t="s">
        <v>1055</v>
      </c>
      <c r="AB71" s="10" t="s">
        <v>1032</v>
      </c>
      <c r="AC71" s="8"/>
      <c r="AD71" s="28" t="s">
        <v>446</v>
      </c>
      <c r="AE71" s="8" t="s">
        <v>1018</v>
      </c>
    </row>
    <row r="72" spans="1:31" ht="17">
      <c r="A72" s="4" t="s">
        <v>7</v>
      </c>
      <c r="B72" s="2" t="s">
        <v>114</v>
      </c>
      <c r="C72" s="8" t="s">
        <v>290</v>
      </c>
      <c r="D72" s="8"/>
      <c r="E72" s="8" t="s">
        <v>290</v>
      </c>
      <c r="F72" s="11"/>
      <c r="G72" s="11"/>
      <c r="H72" s="11"/>
      <c r="I72" s="11"/>
      <c r="J72" s="11"/>
      <c r="K72" s="24"/>
      <c r="L72" s="8"/>
      <c r="M72" s="8"/>
      <c r="N72" s="8"/>
      <c r="O72" s="8"/>
      <c r="P72" s="8"/>
      <c r="Q72" s="8"/>
      <c r="R72" s="8"/>
      <c r="S72" s="10"/>
      <c r="T72" s="10"/>
      <c r="U72" s="10"/>
      <c r="V72" s="10"/>
      <c r="W72" s="10"/>
      <c r="X72" s="10"/>
      <c r="Y72" s="10"/>
      <c r="Z72" s="10"/>
      <c r="AA72" s="10"/>
      <c r="AB72" s="10"/>
      <c r="AC72" s="8"/>
      <c r="AD72" s="8"/>
      <c r="AE72" s="8"/>
    </row>
    <row r="73" spans="1:31" ht="17">
      <c r="A73" s="4" t="s">
        <v>7</v>
      </c>
      <c r="B73" s="2" t="s">
        <v>115</v>
      </c>
      <c r="C73" s="25" t="s">
        <v>15</v>
      </c>
      <c r="D73" s="8"/>
      <c r="E73" s="8" t="s">
        <v>298</v>
      </c>
      <c r="F73" s="11"/>
      <c r="G73" s="11"/>
      <c r="H73" s="11"/>
      <c r="I73" s="11"/>
      <c r="J73" s="11"/>
      <c r="K73" s="24"/>
      <c r="L73" s="8"/>
      <c r="M73" s="8"/>
      <c r="N73" s="8"/>
      <c r="O73" s="8"/>
      <c r="P73" s="8"/>
      <c r="Q73" s="8"/>
      <c r="R73" s="8"/>
      <c r="S73" s="10"/>
      <c r="T73" s="10"/>
      <c r="U73" s="10"/>
      <c r="V73" s="10"/>
      <c r="W73" s="10"/>
      <c r="X73" s="10"/>
      <c r="Y73" s="10"/>
      <c r="Z73" s="10"/>
      <c r="AA73" s="10"/>
      <c r="AB73" s="10"/>
      <c r="AC73" s="8"/>
      <c r="AD73" s="8"/>
      <c r="AE73" s="8"/>
    </row>
    <row r="74" spans="1:31" ht="17">
      <c r="A74" s="4" t="s">
        <v>7</v>
      </c>
      <c r="B74" s="2" t="s">
        <v>116</v>
      </c>
      <c r="C74" s="25" t="s">
        <v>15</v>
      </c>
      <c r="D74" s="8"/>
      <c r="E74" s="8" t="s">
        <v>298</v>
      </c>
      <c r="F74" s="4"/>
      <c r="G74" s="4"/>
      <c r="H74" s="4"/>
      <c r="I74" s="4"/>
      <c r="J74" s="4"/>
      <c r="K74" s="8"/>
      <c r="L74" s="8"/>
      <c r="M74" s="8"/>
      <c r="N74" s="8"/>
      <c r="O74" s="8"/>
      <c r="P74" s="8"/>
      <c r="Q74" s="8"/>
      <c r="R74" s="8"/>
      <c r="S74" s="4"/>
      <c r="T74" s="4"/>
      <c r="U74" s="4"/>
      <c r="V74" s="4"/>
      <c r="W74" s="4"/>
      <c r="X74" s="4"/>
      <c r="Y74" s="4"/>
      <c r="Z74" s="4"/>
      <c r="AA74" s="4"/>
      <c r="AB74" s="4"/>
      <c r="AC74" s="8"/>
      <c r="AD74" s="8"/>
      <c r="AE74" s="8"/>
    </row>
    <row r="75" spans="1:31" ht="17">
      <c r="A75" s="4" t="s">
        <v>7</v>
      </c>
      <c r="B75" s="2" t="s">
        <v>117</v>
      </c>
      <c r="C75" s="25" t="s">
        <v>15</v>
      </c>
      <c r="D75" s="8"/>
      <c r="E75" s="8" t="s">
        <v>298</v>
      </c>
      <c r="F75" s="4"/>
      <c r="G75" s="4"/>
      <c r="H75" s="4"/>
      <c r="I75" s="4"/>
      <c r="J75" s="4"/>
      <c r="K75" s="8"/>
      <c r="L75" s="8"/>
      <c r="M75" s="8"/>
      <c r="N75" s="8"/>
      <c r="O75" s="8"/>
      <c r="P75" s="8"/>
      <c r="Q75" s="8"/>
      <c r="R75" s="8"/>
      <c r="S75" s="4"/>
      <c r="T75" s="4"/>
      <c r="U75" s="4"/>
      <c r="V75" s="4"/>
      <c r="W75" s="4"/>
      <c r="X75" s="4"/>
      <c r="Y75" s="4"/>
      <c r="Z75" s="4"/>
      <c r="AA75" s="4"/>
      <c r="AB75" s="4"/>
      <c r="AC75" s="8"/>
      <c r="AD75" s="8"/>
      <c r="AE75" s="8"/>
    </row>
    <row r="76" spans="1:31" ht="17">
      <c r="A76" s="4" t="s">
        <v>7</v>
      </c>
      <c r="B76" s="2" t="s">
        <v>118</v>
      </c>
      <c r="C76" s="8" t="s">
        <v>290</v>
      </c>
      <c r="D76" s="8"/>
      <c r="E76" s="8"/>
      <c r="F76" s="4"/>
      <c r="G76" s="4"/>
      <c r="H76" s="4"/>
      <c r="I76" s="4"/>
      <c r="J76" s="4"/>
      <c r="K76" s="8"/>
      <c r="L76" s="8"/>
      <c r="M76" s="8"/>
      <c r="N76" s="8"/>
      <c r="O76" s="8"/>
      <c r="P76" s="8"/>
      <c r="Q76" s="8"/>
      <c r="R76" s="8"/>
      <c r="S76" s="4"/>
      <c r="T76" s="4"/>
      <c r="U76" s="4"/>
      <c r="V76" s="4"/>
      <c r="W76" s="4"/>
      <c r="X76" s="4"/>
      <c r="Y76" s="4"/>
      <c r="Z76" s="4"/>
      <c r="AA76" s="4"/>
      <c r="AB76" s="4"/>
      <c r="AC76" s="8"/>
      <c r="AD76" s="8"/>
      <c r="AE76" s="8"/>
    </row>
    <row r="77" spans="1:31" ht="289">
      <c r="A77" s="4" t="s">
        <v>7</v>
      </c>
      <c r="B77" s="2" t="s">
        <v>119</v>
      </c>
      <c r="C77" s="27" t="s">
        <v>14</v>
      </c>
      <c r="D77" s="27" t="s">
        <v>14</v>
      </c>
      <c r="E77" s="8" t="s">
        <v>65</v>
      </c>
      <c r="F77" s="4">
        <v>0</v>
      </c>
      <c r="G77" s="4">
        <v>1</v>
      </c>
      <c r="H77" s="4">
        <v>0</v>
      </c>
      <c r="I77" s="4">
        <v>0</v>
      </c>
      <c r="J77" s="4" t="s">
        <v>344</v>
      </c>
      <c r="K77" s="8" t="s">
        <v>23</v>
      </c>
      <c r="L77" s="8">
        <v>0</v>
      </c>
      <c r="M77" s="8">
        <v>0</v>
      </c>
      <c r="N77" s="8" t="s">
        <v>65</v>
      </c>
      <c r="O77" s="8">
        <v>0</v>
      </c>
      <c r="P77" s="8">
        <v>6792</v>
      </c>
      <c r="Q77" s="8" t="s">
        <v>362</v>
      </c>
      <c r="R77" s="8" t="s">
        <v>368</v>
      </c>
      <c r="S77" s="4" t="s">
        <v>620</v>
      </c>
      <c r="T77" s="4" t="s">
        <v>618</v>
      </c>
      <c r="U77" s="4" t="s">
        <v>619</v>
      </c>
      <c r="V77" s="4" t="s">
        <v>339</v>
      </c>
      <c r="W77" s="4" t="s">
        <v>621</v>
      </c>
      <c r="X77" s="4" t="s">
        <v>65</v>
      </c>
      <c r="Y77" s="4">
        <v>0</v>
      </c>
      <c r="Z77" s="4"/>
      <c r="AA77" s="4" t="s">
        <v>65</v>
      </c>
      <c r="AB77" s="4" t="s">
        <v>65</v>
      </c>
      <c r="AC77" s="8"/>
      <c r="AD77" s="28" t="s">
        <v>617</v>
      </c>
      <c r="AE77" s="8" t="s">
        <v>616</v>
      </c>
    </row>
    <row r="78" spans="1:31" ht="51">
      <c r="A78" s="4" t="s">
        <v>7</v>
      </c>
      <c r="B78" s="2" t="s">
        <v>449</v>
      </c>
      <c r="C78" s="27" t="s">
        <v>14</v>
      </c>
      <c r="D78" s="25" t="s">
        <v>15</v>
      </c>
      <c r="E78" s="8" t="s">
        <v>25</v>
      </c>
      <c r="F78" s="4"/>
      <c r="G78" s="4"/>
      <c r="H78" s="4"/>
      <c r="I78" s="4"/>
      <c r="J78" s="4"/>
      <c r="K78" s="8"/>
      <c r="L78" s="8"/>
      <c r="M78" s="8"/>
      <c r="N78" s="8"/>
      <c r="O78" s="8"/>
      <c r="P78" s="8"/>
      <c r="Q78" s="8"/>
      <c r="R78" s="8"/>
      <c r="S78" s="4"/>
      <c r="T78" s="4"/>
      <c r="U78" s="4"/>
      <c r="V78" s="4"/>
      <c r="W78" s="4"/>
      <c r="X78" s="4"/>
      <c r="Y78" s="4"/>
      <c r="Z78" s="4"/>
      <c r="AA78" s="4"/>
      <c r="AB78" s="4"/>
      <c r="AC78" s="8"/>
      <c r="AD78" s="8" t="s">
        <v>450</v>
      </c>
      <c r="AE78" s="8"/>
    </row>
    <row r="79" spans="1:31" ht="17">
      <c r="A79" s="4" t="s">
        <v>7</v>
      </c>
      <c r="B79" s="2" t="s">
        <v>120</v>
      </c>
      <c r="C79" s="25" t="s">
        <v>15</v>
      </c>
      <c r="D79" s="8"/>
      <c r="E79" s="8" t="s">
        <v>298</v>
      </c>
      <c r="F79" s="4"/>
      <c r="G79" s="4"/>
      <c r="H79" s="4"/>
      <c r="I79" s="4"/>
      <c r="J79" s="4"/>
      <c r="K79" s="8"/>
      <c r="L79" s="8"/>
      <c r="M79" s="8"/>
      <c r="N79" s="8"/>
      <c r="O79" s="8"/>
      <c r="P79" s="8"/>
      <c r="Q79" s="8"/>
      <c r="R79" s="8"/>
      <c r="S79" s="4"/>
      <c r="T79" s="4"/>
      <c r="U79" s="4"/>
      <c r="V79" s="4"/>
      <c r="W79" s="4"/>
      <c r="X79" s="4"/>
      <c r="Y79" s="4"/>
      <c r="Z79" s="4"/>
      <c r="AA79" s="4"/>
      <c r="AB79" s="4"/>
      <c r="AC79" s="8"/>
      <c r="AD79" s="8"/>
      <c r="AE79" s="8"/>
    </row>
    <row r="80" spans="1:31" ht="17">
      <c r="A80" s="4" t="s">
        <v>10</v>
      </c>
      <c r="B80" s="2" t="s">
        <v>121</v>
      </c>
      <c r="C80" s="8" t="s">
        <v>290</v>
      </c>
      <c r="D80" s="8"/>
      <c r="E80" s="8" t="s">
        <v>290</v>
      </c>
      <c r="F80" s="4"/>
      <c r="G80" s="4"/>
      <c r="H80" s="4"/>
      <c r="I80" s="4"/>
      <c r="J80" s="4"/>
      <c r="K80" s="8"/>
      <c r="L80" s="8"/>
      <c r="M80" s="8"/>
      <c r="N80" s="8"/>
      <c r="O80" s="8"/>
      <c r="P80" s="8"/>
      <c r="Q80" s="8"/>
      <c r="R80" s="8"/>
      <c r="S80" s="4"/>
      <c r="T80" s="4"/>
      <c r="U80" s="4"/>
      <c r="V80" s="4"/>
      <c r="W80" s="4"/>
      <c r="X80" s="4"/>
      <c r="Y80" s="4"/>
      <c r="Z80" s="4"/>
      <c r="AA80" s="4"/>
      <c r="AB80" s="4"/>
      <c r="AC80" s="8"/>
      <c r="AD80" s="8"/>
      <c r="AE80" s="8"/>
    </row>
    <row r="81" spans="1:31" ht="272">
      <c r="A81" s="4" t="s">
        <v>10</v>
      </c>
      <c r="B81" s="2" t="s">
        <v>122</v>
      </c>
      <c r="C81" s="15" t="s">
        <v>14</v>
      </c>
      <c r="D81" s="15" t="s">
        <v>14</v>
      </c>
      <c r="E81" s="30" t="s">
        <v>65</v>
      </c>
      <c r="F81" s="4">
        <v>1</v>
      </c>
      <c r="G81" s="4">
        <v>0</v>
      </c>
      <c r="H81" s="4">
        <v>0</v>
      </c>
      <c r="I81" s="4">
        <v>0</v>
      </c>
      <c r="J81" s="4" t="s">
        <v>405</v>
      </c>
      <c r="K81" s="8" t="s">
        <v>23</v>
      </c>
      <c r="L81" s="8">
        <v>1</v>
      </c>
      <c r="M81" s="8">
        <v>1</v>
      </c>
      <c r="N81" s="8" t="s">
        <v>455</v>
      </c>
      <c r="O81" s="8" t="s">
        <v>65</v>
      </c>
      <c r="P81" s="8">
        <v>2000</v>
      </c>
      <c r="Q81" s="8" t="s">
        <v>362</v>
      </c>
      <c r="R81" s="8" t="s">
        <v>420</v>
      </c>
      <c r="S81" s="4" t="s">
        <v>65</v>
      </c>
      <c r="T81" s="4" t="s">
        <v>453</v>
      </c>
      <c r="U81" s="4" t="s">
        <v>65</v>
      </c>
      <c r="V81" s="4" t="s">
        <v>454</v>
      </c>
      <c r="W81" s="4" t="s">
        <v>65</v>
      </c>
      <c r="X81" s="4" t="s">
        <v>65</v>
      </c>
      <c r="Y81" s="4">
        <v>0</v>
      </c>
      <c r="Z81" s="4"/>
      <c r="AA81" s="4" t="s">
        <v>65</v>
      </c>
      <c r="AB81" s="4" t="s">
        <v>65</v>
      </c>
      <c r="AC81" s="8"/>
      <c r="AD81" s="8" t="s">
        <v>452</v>
      </c>
      <c r="AE81" s="8" t="s">
        <v>451</v>
      </c>
    </row>
    <row r="82" spans="1:31" ht="17">
      <c r="A82" s="4" t="s">
        <v>7</v>
      </c>
      <c r="B82" s="2" t="s">
        <v>123</v>
      </c>
      <c r="C82" s="25" t="s">
        <v>15</v>
      </c>
      <c r="D82" s="8"/>
      <c r="E82" s="8" t="s">
        <v>298</v>
      </c>
      <c r="F82" s="4"/>
      <c r="G82" s="4"/>
      <c r="H82" s="4"/>
      <c r="I82" s="4"/>
      <c r="J82" s="4"/>
      <c r="K82" s="8"/>
      <c r="L82" s="8"/>
      <c r="M82" s="8"/>
      <c r="N82" s="8"/>
      <c r="O82" s="8"/>
      <c r="P82" s="8"/>
      <c r="Q82" s="8"/>
      <c r="R82" s="8"/>
      <c r="S82" s="4"/>
      <c r="T82" s="4"/>
      <c r="U82" s="4"/>
      <c r="V82" s="4"/>
      <c r="W82" s="4"/>
      <c r="X82" s="4"/>
      <c r="Y82" s="4"/>
      <c r="Z82" s="4"/>
      <c r="AA82" s="4"/>
      <c r="AB82" s="4"/>
      <c r="AC82" s="8"/>
      <c r="AD82" s="8"/>
      <c r="AE82" s="8"/>
    </row>
    <row r="83" spans="1:31" ht="272">
      <c r="A83" s="4" t="s">
        <v>10</v>
      </c>
      <c r="B83" s="2" t="s">
        <v>124</v>
      </c>
      <c r="C83" s="15" t="s">
        <v>14</v>
      </c>
      <c r="D83" s="15" t="s">
        <v>14</v>
      </c>
      <c r="E83" s="30" t="s">
        <v>65</v>
      </c>
      <c r="F83" s="4">
        <v>0</v>
      </c>
      <c r="G83" s="4">
        <v>1</v>
      </c>
      <c r="H83" s="4">
        <v>1</v>
      </c>
      <c r="I83" s="4">
        <v>0</v>
      </c>
      <c r="J83" s="4" t="s">
        <v>344</v>
      </c>
      <c r="K83" s="8" t="s">
        <v>23</v>
      </c>
      <c r="L83" s="8">
        <v>0</v>
      </c>
      <c r="M83" s="8">
        <v>0</v>
      </c>
      <c r="N83" s="8" t="s">
        <v>65</v>
      </c>
      <c r="O83" s="8" t="s">
        <v>65</v>
      </c>
      <c r="P83" s="8">
        <v>395</v>
      </c>
      <c r="Q83" s="8" t="s">
        <v>458</v>
      </c>
      <c r="R83" s="8" t="s">
        <v>461</v>
      </c>
      <c r="S83" s="4" t="s">
        <v>459</v>
      </c>
      <c r="T83" s="4" t="s">
        <v>1039</v>
      </c>
      <c r="U83" s="4" t="s">
        <v>460</v>
      </c>
      <c r="V83" s="4" t="s">
        <v>65</v>
      </c>
      <c r="W83" s="4" t="s">
        <v>1063</v>
      </c>
      <c r="X83" s="4" t="s">
        <v>65</v>
      </c>
      <c r="Y83" s="4">
        <v>1</v>
      </c>
      <c r="Z83" s="4" t="s">
        <v>682</v>
      </c>
      <c r="AA83" s="4" t="s">
        <v>1055</v>
      </c>
      <c r="AB83" s="4" t="s">
        <v>1032</v>
      </c>
      <c r="AC83" s="8"/>
      <c r="AD83" s="28" t="s">
        <v>456</v>
      </c>
      <c r="AE83" s="8" t="s">
        <v>457</v>
      </c>
    </row>
    <row r="84" spans="1:31" ht="255">
      <c r="A84" s="4" t="s">
        <v>7</v>
      </c>
      <c r="B84" s="2" t="s">
        <v>125</v>
      </c>
      <c r="C84" s="15" t="s">
        <v>14</v>
      </c>
      <c r="D84" s="15" t="s">
        <v>14</v>
      </c>
      <c r="E84" s="30" t="s">
        <v>65</v>
      </c>
      <c r="F84" s="4">
        <v>0</v>
      </c>
      <c r="G84" s="4">
        <v>0</v>
      </c>
      <c r="H84" s="4">
        <v>0</v>
      </c>
      <c r="I84" s="4">
        <v>1</v>
      </c>
      <c r="J84" s="4" t="s">
        <v>344</v>
      </c>
      <c r="K84" s="8" t="s">
        <v>23</v>
      </c>
      <c r="L84" s="8">
        <v>0</v>
      </c>
      <c r="M84" s="8">
        <v>0</v>
      </c>
      <c r="N84" s="8" t="s">
        <v>65</v>
      </c>
      <c r="O84" s="8" t="s">
        <v>65</v>
      </c>
      <c r="P84" s="8">
        <v>1638</v>
      </c>
      <c r="Q84" s="8" t="s">
        <v>464</v>
      </c>
      <c r="R84" s="8" t="s">
        <v>466</v>
      </c>
      <c r="S84" s="4" t="s">
        <v>408</v>
      </c>
      <c r="T84" s="4" t="s">
        <v>432</v>
      </c>
      <c r="U84" s="4" t="s">
        <v>393</v>
      </c>
      <c r="V84" s="4" t="s">
        <v>65</v>
      </c>
      <c r="W84" s="4" t="s">
        <v>465</v>
      </c>
      <c r="X84" s="4" t="s">
        <v>65</v>
      </c>
      <c r="Y84" s="4">
        <v>1</v>
      </c>
      <c r="Z84" s="4"/>
      <c r="AA84" s="4" t="s">
        <v>448</v>
      </c>
      <c r="AB84" s="4" t="s">
        <v>448</v>
      </c>
      <c r="AC84" s="8">
        <v>1</v>
      </c>
      <c r="AD84" s="28" t="s">
        <v>463</v>
      </c>
      <c r="AE84" s="8" t="s">
        <v>462</v>
      </c>
    </row>
    <row r="85" spans="1:31" ht="17">
      <c r="A85" s="4" t="s">
        <v>7</v>
      </c>
      <c r="B85" s="2" t="s">
        <v>126</v>
      </c>
      <c r="C85" s="25" t="s">
        <v>15</v>
      </c>
      <c r="D85" s="8" t="s">
        <v>65</v>
      </c>
      <c r="E85" s="8" t="s">
        <v>298</v>
      </c>
      <c r="F85" s="4"/>
      <c r="G85" s="4"/>
      <c r="H85" s="4"/>
      <c r="I85" s="4"/>
      <c r="J85" s="4"/>
      <c r="K85" s="8"/>
      <c r="L85" s="8"/>
      <c r="M85" s="8"/>
      <c r="N85" s="8"/>
      <c r="O85" s="8"/>
      <c r="P85" s="8"/>
      <c r="Q85" s="8"/>
      <c r="R85" s="8"/>
      <c r="S85" s="4"/>
      <c r="T85" s="4"/>
      <c r="U85" s="4"/>
      <c r="V85" s="4"/>
      <c r="W85" s="4"/>
      <c r="X85" s="4"/>
      <c r="Y85" s="4"/>
      <c r="Z85" s="4"/>
      <c r="AA85" s="4"/>
      <c r="AB85" s="4"/>
      <c r="AC85" s="8"/>
      <c r="AD85" s="8"/>
      <c r="AE85" s="8"/>
    </row>
    <row r="86" spans="1:31" ht="306">
      <c r="A86" s="4" t="s">
        <v>10</v>
      </c>
      <c r="B86" s="2" t="s">
        <v>127</v>
      </c>
      <c r="C86" s="15" t="s">
        <v>14</v>
      </c>
      <c r="D86" s="15" t="s">
        <v>14</v>
      </c>
      <c r="E86" s="30" t="s">
        <v>65</v>
      </c>
      <c r="F86" s="4">
        <v>1</v>
      </c>
      <c r="G86" s="4">
        <v>0</v>
      </c>
      <c r="H86" s="4">
        <v>0</v>
      </c>
      <c r="I86" s="4">
        <v>0</v>
      </c>
      <c r="J86" s="4" t="s">
        <v>405</v>
      </c>
      <c r="K86" s="8" t="s">
        <v>23</v>
      </c>
      <c r="L86" s="8">
        <v>1</v>
      </c>
      <c r="M86" s="8">
        <v>1</v>
      </c>
      <c r="N86" s="8" t="s">
        <v>470</v>
      </c>
      <c r="O86" s="8" t="s">
        <v>65</v>
      </c>
      <c r="P86" s="8">
        <v>659824</v>
      </c>
      <c r="Q86" s="8" t="s">
        <v>469</v>
      </c>
      <c r="R86" s="8" t="s">
        <v>471</v>
      </c>
      <c r="S86" s="4" t="s">
        <v>472</v>
      </c>
      <c r="T86" s="4" t="s">
        <v>402</v>
      </c>
      <c r="U86" s="4" t="s">
        <v>65</v>
      </c>
      <c r="V86" s="4" t="s">
        <v>65</v>
      </c>
      <c r="W86" s="4" t="s">
        <v>65</v>
      </c>
      <c r="X86" s="4" t="s">
        <v>65</v>
      </c>
      <c r="Y86" s="4">
        <v>0</v>
      </c>
      <c r="Z86" s="4"/>
      <c r="AA86" s="4" t="s">
        <v>65</v>
      </c>
      <c r="AB86" s="4" t="s">
        <v>65</v>
      </c>
      <c r="AC86" s="8"/>
      <c r="AD86" s="28" t="s">
        <v>468</v>
      </c>
      <c r="AE86" s="8" t="s">
        <v>467</v>
      </c>
    </row>
    <row r="87" spans="1:31" ht="17">
      <c r="A87" s="4" t="s">
        <v>7</v>
      </c>
      <c r="B87" s="2" t="s">
        <v>128</v>
      </c>
      <c r="C87" s="25" t="s">
        <v>15</v>
      </c>
      <c r="D87" s="8"/>
      <c r="E87" s="8" t="s">
        <v>298</v>
      </c>
      <c r="F87" s="4"/>
      <c r="G87" s="4"/>
      <c r="H87" s="4"/>
      <c r="I87" s="4"/>
      <c r="J87" s="4"/>
      <c r="K87" s="8"/>
      <c r="L87" s="8"/>
      <c r="M87" s="8"/>
      <c r="N87" s="8"/>
      <c r="O87" s="8"/>
      <c r="P87" s="8"/>
      <c r="Q87" s="8"/>
      <c r="R87" s="8"/>
      <c r="S87" s="4"/>
      <c r="T87" s="4"/>
      <c r="U87" s="4"/>
      <c r="V87" s="4"/>
      <c r="W87" s="4"/>
      <c r="X87" s="4"/>
      <c r="Y87" s="4"/>
      <c r="Z87" s="4"/>
      <c r="AA87" s="4"/>
      <c r="AB87" s="4"/>
      <c r="AC87" s="8"/>
      <c r="AD87" s="8"/>
      <c r="AE87" s="8"/>
    </row>
    <row r="88" spans="1:31" ht="255">
      <c r="A88" s="4" t="s">
        <v>7</v>
      </c>
      <c r="B88" s="2" t="s">
        <v>129</v>
      </c>
      <c r="C88" s="15" t="s">
        <v>14</v>
      </c>
      <c r="D88" s="15" t="s">
        <v>14</v>
      </c>
      <c r="E88" s="30" t="s">
        <v>65</v>
      </c>
      <c r="F88" s="4">
        <v>0</v>
      </c>
      <c r="G88" s="4">
        <v>1</v>
      </c>
      <c r="H88" s="4">
        <v>0</v>
      </c>
      <c r="I88" s="4">
        <v>0</v>
      </c>
      <c r="J88" s="4" t="s">
        <v>344</v>
      </c>
      <c r="K88" s="8" t="s">
        <v>23</v>
      </c>
      <c r="L88" s="8">
        <v>0</v>
      </c>
      <c r="M88" s="8">
        <v>0</v>
      </c>
      <c r="N88" s="8" t="s">
        <v>65</v>
      </c>
      <c r="O88" s="8" t="s">
        <v>65</v>
      </c>
      <c r="P88" s="8">
        <v>104</v>
      </c>
      <c r="Q88" s="8" t="s">
        <v>362</v>
      </c>
      <c r="R88" s="8" t="s">
        <v>58</v>
      </c>
      <c r="S88" s="4" t="s">
        <v>475</v>
      </c>
      <c r="T88" s="4" t="s">
        <v>476</v>
      </c>
      <c r="U88" s="4" t="s">
        <v>402</v>
      </c>
      <c r="V88" s="4" t="s">
        <v>65</v>
      </c>
      <c r="W88" s="4" t="s">
        <v>477</v>
      </c>
      <c r="X88" s="4" t="s">
        <v>65</v>
      </c>
      <c r="Y88" s="4">
        <v>0</v>
      </c>
      <c r="Z88" s="4"/>
      <c r="AA88" s="4" t="s">
        <v>65</v>
      </c>
      <c r="AB88" s="4" t="s">
        <v>65</v>
      </c>
      <c r="AC88" s="8"/>
      <c r="AD88" s="8" t="s">
        <v>474</v>
      </c>
      <c r="AE88" s="8" t="s">
        <v>473</v>
      </c>
    </row>
    <row r="89" spans="1:31" ht="289">
      <c r="A89" s="4" t="s">
        <v>7</v>
      </c>
      <c r="B89" s="2" t="s">
        <v>130</v>
      </c>
      <c r="C89" s="15" t="s">
        <v>14</v>
      </c>
      <c r="D89" s="15" t="s">
        <v>14</v>
      </c>
      <c r="E89" s="30" t="s">
        <v>65</v>
      </c>
      <c r="F89" s="4">
        <v>0</v>
      </c>
      <c r="G89" s="4">
        <v>1</v>
      </c>
      <c r="H89" s="4">
        <v>0</v>
      </c>
      <c r="I89" s="4">
        <v>0</v>
      </c>
      <c r="J89" s="4" t="s">
        <v>344</v>
      </c>
      <c r="K89" s="8" t="s">
        <v>480</v>
      </c>
      <c r="L89" s="8">
        <v>0</v>
      </c>
      <c r="M89" s="8">
        <v>0</v>
      </c>
      <c r="N89" s="8" t="s">
        <v>65</v>
      </c>
      <c r="O89" s="8" t="s">
        <v>65</v>
      </c>
      <c r="P89" s="8">
        <v>294</v>
      </c>
      <c r="Q89" s="8" t="s">
        <v>481</v>
      </c>
      <c r="R89" s="8" t="s">
        <v>368</v>
      </c>
      <c r="S89" s="4" t="s">
        <v>65</v>
      </c>
      <c r="T89" s="4" t="s">
        <v>485</v>
      </c>
      <c r="U89" s="4" t="s">
        <v>393</v>
      </c>
      <c r="V89" s="4" t="s">
        <v>65</v>
      </c>
      <c r="W89" s="4" t="s">
        <v>484</v>
      </c>
      <c r="X89" s="4" t="s">
        <v>65</v>
      </c>
      <c r="Y89" s="4">
        <v>0</v>
      </c>
      <c r="Z89" s="4"/>
      <c r="AA89" s="4" t="s">
        <v>65</v>
      </c>
      <c r="AB89" s="4" t="s">
        <v>65</v>
      </c>
      <c r="AC89" s="8"/>
      <c r="AD89" s="8" t="s">
        <v>479</v>
      </c>
      <c r="AE89" s="8" t="s">
        <v>478</v>
      </c>
    </row>
    <row r="90" spans="1:31" ht="238">
      <c r="A90" s="4" t="s">
        <v>7</v>
      </c>
      <c r="B90" s="2" t="s">
        <v>132</v>
      </c>
      <c r="C90" s="15" t="s">
        <v>14</v>
      </c>
      <c r="D90" s="15" t="s">
        <v>14</v>
      </c>
      <c r="E90" s="30" t="s">
        <v>65</v>
      </c>
      <c r="F90" s="4">
        <v>0</v>
      </c>
      <c r="G90" s="4">
        <v>1</v>
      </c>
      <c r="H90" s="4">
        <v>0</v>
      </c>
      <c r="I90" s="4">
        <v>0</v>
      </c>
      <c r="J90" s="4" t="s">
        <v>344</v>
      </c>
      <c r="K90" s="8" t="s">
        <v>23</v>
      </c>
      <c r="L90" s="8">
        <v>0</v>
      </c>
      <c r="M90" s="8">
        <v>0</v>
      </c>
      <c r="N90" s="8" t="s">
        <v>65</v>
      </c>
      <c r="O90" s="8" t="s">
        <v>65</v>
      </c>
      <c r="P90" s="8">
        <v>3655</v>
      </c>
      <c r="Q90" s="8" t="s">
        <v>362</v>
      </c>
      <c r="R90" s="8" t="s">
        <v>368</v>
      </c>
      <c r="S90" s="4" t="s">
        <v>486</v>
      </c>
      <c r="T90" s="4" t="s">
        <v>487</v>
      </c>
      <c r="U90" s="4" t="s">
        <v>488</v>
      </c>
      <c r="V90" s="4" t="s">
        <v>65</v>
      </c>
      <c r="W90" s="4" t="s">
        <v>489</v>
      </c>
      <c r="X90" s="4" t="s">
        <v>65</v>
      </c>
      <c r="Y90" s="4">
        <v>0</v>
      </c>
      <c r="Z90" s="4"/>
      <c r="AA90" s="4" t="s">
        <v>65</v>
      </c>
      <c r="AB90" s="4" t="s">
        <v>65</v>
      </c>
      <c r="AC90" s="8"/>
      <c r="AD90" s="28" t="s">
        <v>483</v>
      </c>
      <c r="AE90" s="8" t="s">
        <v>482</v>
      </c>
    </row>
    <row r="91" spans="1:31" ht="17">
      <c r="A91" s="4" t="s">
        <v>7</v>
      </c>
      <c r="B91" s="2" t="s">
        <v>133</v>
      </c>
      <c r="C91" s="25" t="s">
        <v>15</v>
      </c>
      <c r="D91" s="8"/>
      <c r="E91" s="8" t="s">
        <v>298</v>
      </c>
      <c r="F91" s="4"/>
      <c r="G91" s="4"/>
      <c r="H91" s="4"/>
      <c r="I91" s="4"/>
      <c r="J91" s="4"/>
      <c r="K91" s="8"/>
      <c r="L91" s="8"/>
      <c r="M91" s="8"/>
      <c r="N91" s="8"/>
      <c r="O91" s="8"/>
      <c r="P91" s="8"/>
      <c r="Q91" s="8"/>
      <c r="R91" s="8"/>
      <c r="S91" s="4"/>
      <c r="T91" s="4"/>
      <c r="U91" s="4"/>
      <c r="V91" s="4"/>
      <c r="W91" s="4"/>
      <c r="X91" s="4"/>
      <c r="Y91" s="4"/>
      <c r="Z91" s="4"/>
      <c r="AA91" s="4"/>
      <c r="AB91" s="4"/>
      <c r="AC91" s="8"/>
      <c r="AD91" s="8"/>
      <c r="AE91" s="8"/>
    </row>
    <row r="92" spans="1:31" ht="17">
      <c r="A92" s="4" t="s">
        <v>7</v>
      </c>
      <c r="B92" s="2" t="s">
        <v>289</v>
      </c>
      <c r="C92" s="25" t="s">
        <v>15</v>
      </c>
      <c r="D92" s="25"/>
      <c r="E92" s="8" t="s">
        <v>295</v>
      </c>
      <c r="F92" s="4"/>
      <c r="G92" s="4"/>
      <c r="H92" s="4"/>
      <c r="I92" s="4"/>
      <c r="J92" s="4"/>
      <c r="K92" s="8"/>
      <c r="L92" s="8"/>
      <c r="M92" s="8"/>
      <c r="N92" s="8"/>
      <c r="O92" s="8"/>
      <c r="P92" s="8"/>
      <c r="Q92" s="8"/>
      <c r="R92" s="8"/>
      <c r="S92" s="4"/>
      <c r="T92" s="4"/>
      <c r="U92" s="4"/>
      <c r="V92" s="4"/>
      <c r="W92" s="4"/>
      <c r="X92" s="4"/>
      <c r="Y92" s="4"/>
      <c r="Z92" s="4"/>
      <c r="AA92" s="4"/>
      <c r="AB92" s="4"/>
      <c r="AC92" s="8"/>
      <c r="AD92" s="8"/>
      <c r="AE92" s="8"/>
    </row>
    <row r="93" spans="1:31" ht="272">
      <c r="A93" s="4" t="s">
        <v>7</v>
      </c>
      <c r="B93" s="2" t="s">
        <v>134</v>
      </c>
      <c r="C93" s="15" t="s">
        <v>14</v>
      </c>
      <c r="D93" s="15" t="s">
        <v>14</v>
      </c>
      <c r="E93" s="30" t="s">
        <v>65</v>
      </c>
      <c r="F93" s="4">
        <v>0</v>
      </c>
      <c r="G93" s="4">
        <v>1</v>
      </c>
      <c r="H93" s="4">
        <v>0</v>
      </c>
      <c r="I93" s="4">
        <v>0</v>
      </c>
      <c r="J93" s="4" t="s">
        <v>344</v>
      </c>
      <c r="K93" s="8" t="s">
        <v>23</v>
      </c>
      <c r="L93" s="8">
        <v>0</v>
      </c>
      <c r="M93" s="8">
        <v>0</v>
      </c>
      <c r="N93" s="8" t="s">
        <v>65</v>
      </c>
      <c r="O93" s="8" t="s">
        <v>65</v>
      </c>
      <c r="P93" s="8">
        <v>1511</v>
      </c>
      <c r="Q93" s="8" t="s">
        <v>1049</v>
      </c>
      <c r="R93" s="8" t="s">
        <v>368</v>
      </c>
      <c r="S93" s="10" t="s">
        <v>65</v>
      </c>
      <c r="T93" s="4" t="s">
        <v>1040</v>
      </c>
      <c r="U93" s="4" t="s">
        <v>402</v>
      </c>
      <c r="V93" s="10" t="s">
        <v>65</v>
      </c>
      <c r="W93" s="10" t="s">
        <v>1070</v>
      </c>
      <c r="X93" s="10" t="s">
        <v>65</v>
      </c>
      <c r="Y93" s="10">
        <v>1</v>
      </c>
      <c r="Z93" s="10" t="s">
        <v>682</v>
      </c>
      <c r="AA93" s="10" t="s">
        <v>448</v>
      </c>
      <c r="AB93" s="10" t="s">
        <v>448</v>
      </c>
      <c r="AC93" s="8"/>
      <c r="AD93" s="28" t="s">
        <v>491</v>
      </c>
      <c r="AE93" s="8" t="s">
        <v>490</v>
      </c>
    </row>
    <row r="94" spans="1:31" ht="255">
      <c r="A94" s="4" t="s">
        <v>7</v>
      </c>
      <c r="B94" s="2" t="s">
        <v>135</v>
      </c>
      <c r="C94" s="15" t="s">
        <v>14</v>
      </c>
      <c r="D94" s="15" t="s">
        <v>14</v>
      </c>
      <c r="E94" s="30" t="s">
        <v>65</v>
      </c>
      <c r="F94" s="4">
        <v>0</v>
      </c>
      <c r="G94" s="4">
        <v>1</v>
      </c>
      <c r="H94" s="4">
        <v>0</v>
      </c>
      <c r="I94" s="4">
        <v>0</v>
      </c>
      <c r="J94" s="4" t="s">
        <v>344</v>
      </c>
      <c r="K94" s="8" t="s">
        <v>23</v>
      </c>
      <c r="L94" s="8">
        <v>0</v>
      </c>
      <c r="M94" s="8">
        <v>0</v>
      </c>
      <c r="N94" s="8" t="s">
        <v>499</v>
      </c>
      <c r="O94" s="8" t="s">
        <v>65</v>
      </c>
      <c r="P94" s="8">
        <v>608</v>
      </c>
      <c r="Q94" s="8" t="s">
        <v>500</v>
      </c>
      <c r="R94" s="8" t="s">
        <v>368</v>
      </c>
      <c r="S94" s="10" t="s">
        <v>495</v>
      </c>
      <c r="T94" s="4" t="s">
        <v>494</v>
      </c>
      <c r="U94" s="4" t="s">
        <v>497</v>
      </c>
      <c r="V94" s="21" t="s">
        <v>496</v>
      </c>
      <c r="W94" s="14" t="s">
        <v>498</v>
      </c>
      <c r="X94" s="4" t="s">
        <v>65</v>
      </c>
      <c r="Y94" s="10">
        <v>0</v>
      </c>
      <c r="Z94" s="10"/>
      <c r="AA94" s="10" t="s">
        <v>65</v>
      </c>
      <c r="AB94" s="10" t="s">
        <v>65</v>
      </c>
      <c r="AC94" s="8"/>
      <c r="AD94" s="8" t="s">
        <v>493</v>
      </c>
      <c r="AE94" s="8" t="s">
        <v>492</v>
      </c>
    </row>
    <row r="95" spans="1:31" ht="238">
      <c r="A95" s="4" t="s">
        <v>10</v>
      </c>
      <c r="B95" s="2" t="s">
        <v>136</v>
      </c>
      <c r="C95" s="15" t="s">
        <v>14</v>
      </c>
      <c r="D95" s="23" t="s">
        <v>14</v>
      </c>
      <c r="E95" s="30" t="s">
        <v>65</v>
      </c>
      <c r="F95" s="4">
        <v>1</v>
      </c>
      <c r="G95" s="4">
        <v>0</v>
      </c>
      <c r="H95" s="4">
        <v>0</v>
      </c>
      <c r="I95" s="4">
        <v>0</v>
      </c>
      <c r="J95" s="4" t="s">
        <v>405</v>
      </c>
      <c r="K95" s="8" t="s">
        <v>23</v>
      </c>
      <c r="L95" s="8">
        <v>1</v>
      </c>
      <c r="M95" s="8">
        <v>1</v>
      </c>
      <c r="N95" s="8" t="s">
        <v>503</v>
      </c>
      <c r="O95" s="8" t="s">
        <v>65</v>
      </c>
      <c r="P95" s="8">
        <v>502504</v>
      </c>
      <c r="Q95" s="8" t="s">
        <v>505</v>
      </c>
      <c r="R95" s="8" t="s">
        <v>471</v>
      </c>
      <c r="S95" s="10" t="s">
        <v>65</v>
      </c>
      <c r="T95" s="14" t="s">
        <v>410</v>
      </c>
      <c r="U95" s="10" t="s">
        <v>402</v>
      </c>
      <c r="V95" s="21" t="s">
        <v>504</v>
      </c>
      <c r="W95" s="10" t="s">
        <v>390</v>
      </c>
      <c r="X95" s="10" t="s">
        <v>65</v>
      </c>
      <c r="Y95" s="10">
        <v>0</v>
      </c>
      <c r="Z95" s="10"/>
      <c r="AA95" s="10" t="s">
        <v>65</v>
      </c>
      <c r="AB95" s="10" t="s">
        <v>65</v>
      </c>
      <c r="AC95" s="8"/>
      <c r="AD95" s="8" t="s">
        <v>502</v>
      </c>
      <c r="AE95" s="8" t="s">
        <v>501</v>
      </c>
    </row>
    <row r="96" spans="1:31" ht="238">
      <c r="A96" s="4" t="s">
        <v>7</v>
      </c>
      <c r="B96" s="2" t="s">
        <v>137</v>
      </c>
      <c r="C96" s="15" t="s">
        <v>14</v>
      </c>
      <c r="D96" s="23" t="s">
        <v>14</v>
      </c>
      <c r="E96" s="30" t="s">
        <v>65</v>
      </c>
      <c r="F96" s="4">
        <v>0</v>
      </c>
      <c r="G96" s="4">
        <v>1</v>
      </c>
      <c r="H96" s="4">
        <v>0</v>
      </c>
      <c r="I96" s="4">
        <v>0</v>
      </c>
      <c r="J96" s="4" t="s">
        <v>344</v>
      </c>
      <c r="K96" s="8" t="s">
        <v>23</v>
      </c>
      <c r="L96" s="8">
        <v>0</v>
      </c>
      <c r="M96" s="8">
        <v>1</v>
      </c>
      <c r="N96" s="8" t="s">
        <v>65</v>
      </c>
      <c r="O96" s="8" t="s">
        <v>65</v>
      </c>
      <c r="P96" s="8">
        <v>6294</v>
      </c>
      <c r="Q96" s="8" t="s">
        <v>362</v>
      </c>
      <c r="R96" s="8" t="s">
        <v>368</v>
      </c>
      <c r="S96" s="10" t="s">
        <v>508</v>
      </c>
      <c r="T96" s="10" t="s">
        <v>509</v>
      </c>
      <c r="U96" s="10" t="s">
        <v>402</v>
      </c>
      <c r="V96" s="10" t="s">
        <v>65</v>
      </c>
      <c r="W96" s="10" t="s">
        <v>507</v>
      </c>
      <c r="X96" s="10" t="s">
        <v>65</v>
      </c>
      <c r="Y96" s="10">
        <v>0</v>
      </c>
      <c r="Z96" s="10"/>
      <c r="AA96" s="10" t="s">
        <v>65</v>
      </c>
      <c r="AB96" s="10" t="s">
        <v>65</v>
      </c>
      <c r="AC96" s="8"/>
      <c r="AD96" s="28" t="s">
        <v>506</v>
      </c>
      <c r="AE96" s="8" t="s">
        <v>1020</v>
      </c>
    </row>
    <row r="97" spans="1:31" ht="255">
      <c r="A97" s="4" t="s">
        <v>7</v>
      </c>
      <c r="B97" s="2" t="s">
        <v>138</v>
      </c>
      <c r="C97" s="23" t="s">
        <v>14</v>
      </c>
      <c r="D97" s="23" t="s">
        <v>14</v>
      </c>
      <c r="E97" s="30" t="s">
        <v>65</v>
      </c>
      <c r="F97" s="11">
        <v>0</v>
      </c>
      <c r="G97" s="11">
        <v>0</v>
      </c>
      <c r="H97" s="11">
        <v>1</v>
      </c>
      <c r="I97" s="11">
        <v>0</v>
      </c>
      <c r="J97" s="11" t="s">
        <v>344</v>
      </c>
      <c r="K97" s="24" t="s">
        <v>23</v>
      </c>
      <c r="L97" s="24">
        <v>0</v>
      </c>
      <c r="M97" s="24">
        <v>1</v>
      </c>
      <c r="N97" s="8" t="s">
        <v>65</v>
      </c>
      <c r="O97" s="8" t="s">
        <v>514</v>
      </c>
      <c r="P97" s="8">
        <v>49103</v>
      </c>
      <c r="Q97" s="8" t="s">
        <v>517</v>
      </c>
      <c r="R97" s="8" t="s">
        <v>518</v>
      </c>
      <c r="S97" s="10" t="s">
        <v>515</v>
      </c>
      <c r="T97" s="10" t="s">
        <v>516</v>
      </c>
      <c r="U97" s="10" t="s">
        <v>512</v>
      </c>
      <c r="V97" s="10" t="s">
        <v>339</v>
      </c>
      <c r="W97" s="10" t="s">
        <v>513</v>
      </c>
      <c r="X97" s="10"/>
      <c r="Y97" s="10">
        <v>0</v>
      </c>
      <c r="Z97" s="10"/>
      <c r="AA97" s="10" t="s">
        <v>65</v>
      </c>
      <c r="AB97" s="10" t="s">
        <v>65</v>
      </c>
      <c r="AC97" s="8"/>
      <c r="AD97" s="28" t="s">
        <v>511</v>
      </c>
      <c r="AE97" s="8" t="s">
        <v>510</v>
      </c>
    </row>
    <row r="98" spans="1:31" ht="17">
      <c r="A98" s="4" t="s">
        <v>7</v>
      </c>
      <c r="B98" s="2" t="s">
        <v>139</v>
      </c>
      <c r="C98" s="25" t="s">
        <v>15</v>
      </c>
      <c r="D98" s="8"/>
      <c r="E98" s="8" t="s">
        <v>21</v>
      </c>
      <c r="F98" s="11"/>
      <c r="G98" s="11"/>
      <c r="H98" s="11"/>
      <c r="I98" s="11"/>
      <c r="J98" s="11"/>
      <c r="K98" s="24"/>
      <c r="L98" s="24"/>
      <c r="M98" s="24"/>
      <c r="N98" s="8"/>
      <c r="O98" s="8"/>
      <c r="P98" s="8"/>
      <c r="Q98" s="8"/>
      <c r="R98" s="8"/>
      <c r="S98" s="10"/>
      <c r="T98" s="10"/>
      <c r="U98" s="10"/>
      <c r="V98" s="10"/>
      <c r="W98" s="10"/>
      <c r="X98" s="10"/>
      <c r="Y98" s="10"/>
      <c r="Z98" s="10"/>
      <c r="AA98" s="10"/>
      <c r="AB98" s="10"/>
      <c r="AC98" s="8"/>
      <c r="AD98" s="8"/>
      <c r="AE98" s="8"/>
    </row>
    <row r="99" spans="1:31" ht="221">
      <c r="A99" s="4" t="s">
        <v>7</v>
      </c>
      <c r="B99" s="2" t="s">
        <v>622</v>
      </c>
      <c r="C99" s="23" t="s">
        <v>14</v>
      </c>
      <c r="D99" s="23" t="s">
        <v>14</v>
      </c>
      <c r="E99" s="8" t="s">
        <v>65</v>
      </c>
      <c r="F99" s="11">
        <v>0</v>
      </c>
      <c r="G99" s="11">
        <v>1</v>
      </c>
      <c r="H99" s="11">
        <v>0</v>
      </c>
      <c r="I99" s="11">
        <v>0</v>
      </c>
      <c r="J99" s="11" t="s">
        <v>344</v>
      </c>
      <c r="K99" s="24" t="s">
        <v>23</v>
      </c>
      <c r="L99" s="24">
        <v>0</v>
      </c>
      <c r="M99" s="24">
        <v>0</v>
      </c>
      <c r="N99" s="8" t="s">
        <v>65</v>
      </c>
      <c r="O99" s="8" t="s">
        <v>65</v>
      </c>
      <c r="P99" s="8">
        <v>300</v>
      </c>
      <c r="Q99" s="8" t="s">
        <v>648</v>
      </c>
      <c r="R99" s="8" t="s">
        <v>368</v>
      </c>
      <c r="S99" s="10" t="s">
        <v>65</v>
      </c>
      <c r="T99" s="10" t="s">
        <v>625</v>
      </c>
      <c r="U99" s="10" t="s">
        <v>402</v>
      </c>
      <c r="V99" s="10" t="s">
        <v>496</v>
      </c>
      <c r="W99" s="10" t="s">
        <v>626</v>
      </c>
      <c r="X99" s="10" t="s">
        <v>65</v>
      </c>
      <c r="Y99" s="10">
        <v>0</v>
      </c>
      <c r="Z99" s="10"/>
      <c r="AA99" s="10" t="s">
        <v>65</v>
      </c>
      <c r="AB99" s="10" t="s">
        <v>65</v>
      </c>
      <c r="AC99" s="8"/>
      <c r="AD99" s="8" t="s">
        <v>624</v>
      </c>
      <c r="AE99" s="8" t="s">
        <v>623</v>
      </c>
    </row>
    <row r="100" spans="1:31" ht="17">
      <c r="A100" s="4" t="s">
        <v>7</v>
      </c>
      <c r="B100" s="2" t="s">
        <v>140</v>
      </c>
      <c r="C100" s="25" t="s">
        <v>15</v>
      </c>
      <c r="D100" s="8"/>
      <c r="E100" s="8" t="s">
        <v>298</v>
      </c>
      <c r="F100" s="11"/>
      <c r="G100" s="11"/>
      <c r="H100" s="11"/>
      <c r="I100" s="11"/>
      <c r="J100" s="11"/>
      <c r="K100" s="24"/>
      <c r="L100" s="24"/>
      <c r="M100" s="24"/>
      <c r="N100" s="8"/>
      <c r="O100" s="8"/>
      <c r="P100" s="8"/>
      <c r="Q100" s="8"/>
      <c r="R100" s="8"/>
      <c r="S100" s="10"/>
      <c r="T100" s="10"/>
      <c r="U100" s="10"/>
      <c r="V100" s="10"/>
      <c r="W100" s="10"/>
      <c r="X100" s="10"/>
      <c r="Y100" s="10"/>
      <c r="Z100" s="10"/>
      <c r="AA100" s="10"/>
      <c r="AB100" s="10"/>
      <c r="AC100" s="8"/>
      <c r="AD100" s="8"/>
      <c r="AE100" s="8"/>
    </row>
    <row r="101" spans="1:31" ht="238">
      <c r="A101" s="4" t="s">
        <v>7</v>
      </c>
      <c r="B101" s="2" t="s">
        <v>141</v>
      </c>
      <c r="C101" s="23" t="s">
        <v>14</v>
      </c>
      <c r="D101" s="23" t="s">
        <v>14</v>
      </c>
      <c r="E101" s="8" t="s">
        <v>65</v>
      </c>
      <c r="F101" s="11">
        <v>0</v>
      </c>
      <c r="G101" s="11">
        <v>0</v>
      </c>
      <c r="H101" s="11">
        <v>1</v>
      </c>
      <c r="I101" s="11">
        <v>0</v>
      </c>
      <c r="J101" s="11" t="s">
        <v>344</v>
      </c>
      <c r="K101" s="24" t="s">
        <v>23</v>
      </c>
      <c r="L101" s="24">
        <v>0</v>
      </c>
      <c r="M101" s="24">
        <v>0</v>
      </c>
      <c r="N101" s="8" t="s">
        <v>65</v>
      </c>
      <c r="O101" s="8" t="s">
        <v>65</v>
      </c>
      <c r="P101" s="8">
        <v>690</v>
      </c>
      <c r="Q101" s="8" t="s">
        <v>739</v>
      </c>
      <c r="R101" s="8" t="s">
        <v>908</v>
      </c>
      <c r="S101" s="10" t="s">
        <v>984</v>
      </c>
      <c r="T101" s="10" t="s">
        <v>1076</v>
      </c>
      <c r="U101" s="10" t="s">
        <v>937</v>
      </c>
      <c r="V101" s="10" t="s">
        <v>339</v>
      </c>
      <c r="W101" s="10" t="s">
        <v>983</v>
      </c>
      <c r="X101" s="10" t="s">
        <v>65</v>
      </c>
      <c r="Y101" s="10">
        <v>0</v>
      </c>
      <c r="Z101" s="10"/>
      <c r="AA101" s="10" t="s">
        <v>65</v>
      </c>
      <c r="AB101" s="10" t="s">
        <v>65</v>
      </c>
      <c r="AC101" s="8"/>
      <c r="AD101" s="28" t="s">
        <v>549</v>
      </c>
      <c r="AE101" s="8" t="s">
        <v>548</v>
      </c>
    </row>
    <row r="102" spans="1:31" ht="17">
      <c r="A102" s="4" t="s">
        <v>7</v>
      </c>
      <c r="B102" s="2" t="s">
        <v>142</v>
      </c>
      <c r="C102" s="8" t="s">
        <v>290</v>
      </c>
      <c r="D102" s="8"/>
      <c r="E102" s="8" t="s">
        <v>290</v>
      </c>
      <c r="F102" s="12"/>
      <c r="G102" s="12"/>
      <c r="H102" s="12"/>
      <c r="I102" s="12"/>
      <c r="J102" s="4"/>
      <c r="K102" s="8"/>
      <c r="L102" s="8"/>
      <c r="M102" s="8"/>
      <c r="N102" s="8"/>
      <c r="O102" s="8"/>
      <c r="P102" s="8"/>
      <c r="Q102" s="8"/>
      <c r="R102" s="8"/>
      <c r="S102" s="10"/>
      <c r="T102" s="10"/>
      <c r="U102" s="10"/>
      <c r="V102" s="10"/>
      <c r="W102" s="10"/>
      <c r="X102" s="10"/>
      <c r="Y102" s="10"/>
      <c r="Z102" s="10"/>
      <c r="AA102" s="10"/>
      <c r="AB102" s="10"/>
      <c r="AC102" s="8"/>
      <c r="AD102" s="8"/>
      <c r="AE102" s="8"/>
    </row>
    <row r="103" spans="1:31" ht="255">
      <c r="A103" s="4" t="s">
        <v>10</v>
      </c>
      <c r="B103" s="2" t="s">
        <v>143</v>
      </c>
      <c r="C103" s="23" t="s">
        <v>14</v>
      </c>
      <c r="D103" s="23" t="s">
        <v>14</v>
      </c>
      <c r="E103" s="8" t="s">
        <v>65</v>
      </c>
      <c r="F103" s="4">
        <v>1</v>
      </c>
      <c r="G103" s="4">
        <v>0</v>
      </c>
      <c r="H103" s="4">
        <v>0</v>
      </c>
      <c r="I103" s="4">
        <v>0</v>
      </c>
      <c r="J103" s="4" t="s">
        <v>405</v>
      </c>
      <c r="K103" s="8" t="s">
        <v>23</v>
      </c>
      <c r="L103" s="8">
        <v>0</v>
      </c>
      <c r="M103" s="8">
        <v>0</v>
      </c>
      <c r="N103" s="8" t="s">
        <v>65</v>
      </c>
      <c r="O103" s="8" t="s">
        <v>350</v>
      </c>
      <c r="P103" s="8">
        <v>213</v>
      </c>
      <c r="Q103" s="8" t="s">
        <v>362</v>
      </c>
      <c r="R103" s="8" t="s">
        <v>403</v>
      </c>
      <c r="S103" s="10" t="s">
        <v>630</v>
      </c>
      <c r="T103" s="10" t="s">
        <v>629</v>
      </c>
      <c r="U103" s="10" t="s">
        <v>65</v>
      </c>
      <c r="V103" s="10" t="s">
        <v>65</v>
      </c>
      <c r="W103" s="10" t="s">
        <v>65</v>
      </c>
      <c r="X103" s="10" t="s">
        <v>65</v>
      </c>
      <c r="Y103" s="10">
        <v>0</v>
      </c>
      <c r="Z103" s="10"/>
      <c r="AA103" s="10" t="s">
        <v>65</v>
      </c>
      <c r="AB103" s="10" t="s">
        <v>65</v>
      </c>
      <c r="AC103" s="8"/>
      <c r="AD103" s="28" t="s">
        <v>628</v>
      </c>
      <c r="AE103" s="8" t="s">
        <v>627</v>
      </c>
    </row>
    <row r="104" spans="1:31" ht="238">
      <c r="A104" s="4" t="s">
        <v>7</v>
      </c>
      <c r="B104" s="2" t="s">
        <v>144</v>
      </c>
      <c r="C104" s="23" t="s">
        <v>14</v>
      </c>
      <c r="D104" s="27" t="s">
        <v>14</v>
      </c>
      <c r="E104" s="30" t="s">
        <v>65</v>
      </c>
      <c r="F104" s="11">
        <v>1</v>
      </c>
      <c r="G104" s="11">
        <v>0</v>
      </c>
      <c r="H104" s="11">
        <v>0</v>
      </c>
      <c r="I104" s="11">
        <v>0</v>
      </c>
      <c r="J104" s="11" t="s">
        <v>405</v>
      </c>
      <c r="K104" s="24" t="s">
        <v>23</v>
      </c>
      <c r="L104" s="24">
        <v>1</v>
      </c>
      <c r="M104" s="24">
        <v>1</v>
      </c>
      <c r="N104" s="8" t="s">
        <v>521</v>
      </c>
      <c r="O104" s="8" t="s">
        <v>520</v>
      </c>
      <c r="P104" s="8">
        <v>230</v>
      </c>
      <c r="Q104" s="8" t="s">
        <v>382</v>
      </c>
      <c r="R104" s="8" t="s">
        <v>471</v>
      </c>
      <c r="S104" s="10" t="s">
        <v>65</v>
      </c>
      <c r="T104" s="10" t="s">
        <v>519</v>
      </c>
      <c r="U104" s="10" t="s">
        <v>65</v>
      </c>
      <c r="V104" s="10" t="s">
        <v>65</v>
      </c>
      <c r="W104" s="10" t="s">
        <v>65</v>
      </c>
      <c r="X104" s="10" t="s">
        <v>65</v>
      </c>
      <c r="Y104" s="10">
        <v>0</v>
      </c>
      <c r="Z104" s="10"/>
      <c r="AA104" s="10" t="s">
        <v>65</v>
      </c>
      <c r="AB104" s="10" t="s">
        <v>65</v>
      </c>
      <c r="AC104" s="8"/>
      <c r="AD104" s="8" t="s">
        <v>523</v>
      </c>
      <c r="AE104" s="8" t="s">
        <v>522</v>
      </c>
    </row>
    <row r="105" spans="1:31" ht="17">
      <c r="A105" s="4" t="s">
        <v>7</v>
      </c>
      <c r="B105" s="2" t="s">
        <v>145</v>
      </c>
      <c r="C105" s="25" t="s">
        <v>15</v>
      </c>
      <c r="D105" s="13"/>
      <c r="E105" s="8" t="s">
        <v>298</v>
      </c>
      <c r="F105" s="4"/>
      <c r="G105" s="4"/>
      <c r="H105" s="4"/>
      <c r="I105" s="4"/>
      <c r="J105" s="4"/>
      <c r="K105" s="8"/>
      <c r="L105" s="8"/>
      <c r="M105" s="8"/>
      <c r="N105" s="8"/>
      <c r="O105" s="8"/>
      <c r="P105" s="8"/>
      <c r="Q105" s="8"/>
      <c r="R105" s="8"/>
      <c r="S105" s="10"/>
      <c r="T105" s="10"/>
      <c r="U105" s="10"/>
      <c r="V105" s="10"/>
      <c r="W105" s="10"/>
      <c r="X105" s="10"/>
      <c r="Y105" s="10"/>
      <c r="Z105" s="10"/>
      <c r="AA105" s="10"/>
      <c r="AB105" s="10"/>
      <c r="AC105" s="8"/>
      <c r="AD105" s="8"/>
      <c r="AE105" s="8"/>
    </row>
    <row r="106" spans="1:31" ht="17">
      <c r="A106" s="4" t="s">
        <v>7</v>
      </c>
      <c r="B106" s="2" t="s">
        <v>291</v>
      </c>
      <c r="C106" s="25" t="s">
        <v>15</v>
      </c>
      <c r="D106" s="13"/>
      <c r="E106" s="8" t="s">
        <v>298</v>
      </c>
      <c r="F106" s="4"/>
      <c r="G106" s="4"/>
      <c r="H106" s="4"/>
      <c r="I106" s="4"/>
      <c r="J106" s="4"/>
      <c r="K106" s="8"/>
      <c r="L106" s="8"/>
      <c r="M106" s="8"/>
      <c r="N106" s="8"/>
      <c r="O106" s="8"/>
      <c r="P106" s="8"/>
      <c r="Q106" s="8"/>
      <c r="R106" s="8"/>
      <c r="S106" s="10"/>
      <c r="T106" s="10"/>
      <c r="U106" s="10"/>
      <c r="V106" s="10"/>
      <c r="W106" s="10"/>
      <c r="X106" s="10"/>
      <c r="Y106" s="10"/>
      <c r="Z106" s="10"/>
      <c r="AA106" s="10"/>
      <c r="AB106" s="10"/>
      <c r="AC106" s="8"/>
      <c r="AD106" s="8"/>
      <c r="AE106" s="8"/>
    </row>
    <row r="107" spans="1:31" ht="289">
      <c r="A107" s="4" t="s">
        <v>7</v>
      </c>
      <c r="B107" s="2" t="s">
        <v>146</v>
      </c>
      <c r="C107" s="23" t="s">
        <v>14</v>
      </c>
      <c r="D107" s="23" t="s">
        <v>14</v>
      </c>
      <c r="E107" s="8" t="s">
        <v>499</v>
      </c>
      <c r="F107" s="4">
        <v>0</v>
      </c>
      <c r="G107" s="4">
        <v>0</v>
      </c>
      <c r="H107" s="4">
        <v>1</v>
      </c>
      <c r="I107" s="4">
        <v>0</v>
      </c>
      <c r="J107" s="4" t="s">
        <v>344</v>
      </c>
      <c r="K107" s="8" t="s">
        <v>23</v>
      </c>
      <c r="L107" s="8">
        <v>1</v>
      </c>
      <c r="M107" s="8">
        <v>0</v>
      </c>
      <c r="N107" s="8" t="s">
        <v>65</v>
      </c>
      <c r="O107" s="8" t="s">
        <v>526</v>
      </c>
      <c r="P107" s="8">
        <v>500</v>
      </c>
      <c r="Q107" s="8" t="s">
        <v>1028</v>
      </c>
      <c r="R107" s="8" t="s">
        <v>536</v>
      </c>
      <c r="S107" s="10" t="s">
        <v>527</v>
      </c>
      <c r="T107" s="10" t="s">
        <v>531</v>
      </c>
      <c r="U107" s="10" t="s">
        <v>529</v>
      </c>
      <c r="V107" s="10" t="s">
        <v>65</v>
      </c>
      <c r="W107" s="10" t="s">
        <v>530</v>
      </c>
      <c r="X107" s="10" t="s">
        <v>65</v>
      </c>
      <c r="Y107" s="10">
        <v>1</v>
      </c>
      <c r="Z107" s="10" t="s">
        <v>682</v>
      </c>
      <c r="AA107" s="10" t="s">
        <v>723</v>
      </c>
      <c r="AB107" s="10" t="s">
        <v>723</v>
      </c>
      <c r="AC107" s="8"/>
      <c r="AD107" s="8" t="s">
        <v>525</v>
      </c>
      <c r="AE107" s="8" t="s">
        <v>524</v>
      </c>
    </row>
    <row r="108" spans="1:31" ht="17">
      <c r="A108" s="4" t="s">
        <v>7</v>
      </c>
      <c r="B108" s="2" t="s">
        <v>147</v>
      </c>
      <c r="C108" s="25" t="s">
        <v>15</v>
      </c>
      <c r="D108" s="13"/>
      <c r="E108" s="8" t="s">
        <v>298</v>
      </c>
      <c r="F108" s="4"/>
      <c r="G108" s="4"/>
      <c r="H108" s="4"/>
      <c r="I108" s="4"/>
      <c r="J108" s="4"/>
      <c r="K108" s="8"/>
      <c r="L108" s="8"/>
      <c r="M108" s="8"/>
      <c r="N108" s="8"/>
      <c r="O108" s="8"/>
      <c r="P108" s="8"/>
      <c r="Q108" s="8"/>
      <c r="R108" s="8"/>
      <c r="S108" s="10"/>
      <c r="T108" s="10"/>
      <c r="U108" s="10"/>
      <c r="V108" s="10"/>
      <c r="W108" s="10"/>
      <c r="X108" s="10"/>
      <c r="Y108" s="10"/>
      <c r="Z108" s="10"/>
      <c r="AA108" s="10"/>
      <c r="AB108" s="10"/>
      <c r="AC108" s="8"/>
      <c r="AD108" s="8"/>
      <c r="AE108" s="8"/>
    </row>
    <row r="109" spans="1:31" ht="255">
      <c r="A109" s="4" t="s">
        <v>7</v>
      </c>
      <c r="B109" s="2" t="s">
        <v>148</v>
      </c>
      <c r="C109" s="23" t="s">
        <v>14</v>
      </c>
      <c r="D109" s="23" t="s">
        <v>14</v>
      </c>
      <c r="E109" s="8" t="s">
        <v>65</v>
      </c>
      <c r="F109" s="4">
        <v>1</v>
      </c>
      <c r="G109" s="4">
        <v>1</v>
      </c>
      <c r="H109" s="4">
        <v>1</v>
      </c>
      <c r="I109" s="4">
        <v>0</v>
      </c>
      <c r="J109" s="4" t="s">
        <v>534</v>
      </c>
      <c r="K109" s="8" t="s">
        <v>23</v>
      </c>
      <c r="L109" s="8">
        <v>1</v>
      </c>
      <c r="M109" s="8">
        <v>1</v>
      </c>
      <c r="N109" s="8" t="s">
        <v>535</v>
      </c>
      <c r="O109" s="8" t="s">
        <v>65</v>
      </c>
      <c r="P109" s="8">
        <v>2055</v>
      </c>
      <c r="Q109" s="8" t="s">
        <v>362</v>
      </c>
      <c r="R109" s="8" t="s">
        <v>537</v>
      </c>
      <c r="S109" s="10" t="s">
        <v>539</v>
      </c>
      <c r="T109" s="10" t="s">
        <v>447</v>
      </c>
      <c r="U109" s="10" t="s">
        <v>540</v>
      </c>
      <c r="V109" s="10" t="s">
        <v>65</v>
      </c>
      <c r="W109" s="10" t="s">
        <v>538</v>
      </c>
      <c r="X109" s="10" t="s">
        <v>65</v>
      </c>
      <c r="Y109" s="10">
        <v>0</v>
      </c>
      <c r="Z109" s="10"/>
      <c r="AA109" s="10" t="s">
        <v>65</v>
      </c>
      <c r="AB109" s="10" t="s">
        <v>65</v>
      </c>
      <c r="AC109" s="8"/>
      <c r="AD109" s="28" t="s">
        <v>533</v>
      </c>
      <c r="AE109" s="8" t="s">
        <v>532</v>
      </c>
    </row>
    <row r="110" spans="1:31" ht="17">
      <c r="A110" s="4" t="s">
        <v>7</v>
      </c>
      <c r="B110" s="2" t="s">
        <v>149</v>
      </c>
      <c r="C110" s="25" t="s">
        <v>15</v>
      </c>
      <c r="D110" s="13"/>
      <c r="E110" s="8" t="s">
        <v>298</v>
      </c>
      <c r="F110" s="4"/>
      <c r="G110" s="4"/>
      <c r="H110" s="4"/>
      <c r="I110" s="4"/>
      <c r="J110" s="4"/>
      <c r="K110" s="8"/>
      <c r="L110" s="8"/>
      <c r="M110" s="8"/>
      <c r="N110" s="8"/>
      <c r="O110" s="8"/>
      <c r="P110" s="8"/>
      <c r="Q110" s="8"/>
      <c r="R110" s="8"/>
      <c r="S110" s="10"/>
      <c r="T110" s="10"/>
      <c r="U110" s="10"/>
      <c r="V110" s="10"/>
      <c r="W110" s="10"/>
      <c r="X110" s="10"/>
      <c r="Y110" s="10"/>
      <c r="Z110" s="10"/>
      <c r="AA110" s="10"/>
      <c r="AB110" s="10"/>
      <c r="AC110" s="8"/>
      <c r="AD110" s="8"/>
      <c r="AE110" s="8"/>
    </row>
    <row r="111" spans="1:31" ht="289">
      <c r="A111" s="4" t="s">
        <v>7</v>
      </c>
      <c r="B111" s="2" t="s">
        <v>150</v>
      </c>
      <c r="C111" s="23" t="s">
        <v>14</v>
      </c>
      <c r="D111" s="23" t="s">
        <v>14</v>
      </c>
      <c r="E111" s="8" t="s">
        <v>65</v>
      </c>
      <c r="F111" s="4">
        <v>0</v>
      </c>
      <c r="G111" s="4">
        <v>1</v>
      </c>
      <c r="H111" s="4">
        <v>0</v>
      </c>
      <c r="I111" s="4">
        <v>0</v>
      </c>
      <c r="J111" s="4" t="s">
        <v>344</v>
      </c>
      <c r="K111" s="8" t="s">
        <v>552</v>
      </c>
      <c r="L111" s="8">
        <v>0</v>
      </c>
      <c r="M111" s="8">
        <v>0</v>
      </c>
      <c r="N111" s="8" t="s">
        <v>65</v>
      </c>
      <c r="O111" s="8" t="s">
        <v>65</v>
      </c>
      <c r="P111" s="8">
        <v>1893</v>
      </c>
      <c r="Q111" s="8" t="s">
        <v>543</v>
      </c>
      <c r="R111" s="8" t="s">
        <v>547</v>
      </c>
      <c r="S111" s="10" t="s">
        <v>65</v>
      </c>
      <c r="T111" s="11" t="s">
        <v>1086</v>
      </c>
      <c r="U111" s="11" t="s">
        <v>545</v>
      </c>
      <c r="V111" s="10" t="s">
        <v>496</v>
      </c>
      <c r="W111" s="10" t="s">
        <v>546</v>
      </c>
      <c r="X111" s="10" t="s">
        <v>65</v>
      </c>
      <c r="Y111" s="10">
        <v>1</v>
      </c>
      <c r="Z111" s="10" t="s">
        <v>552</v>
      </c>
      <c r="AA111" s="10" t="s">
        <v>1052</v>
      </c>
      <c r="AB111" s="10" t="s">
        <v>544</v>
      </c>
      <c r="AC111" s="8"/>
      <c r="AD111" s="28" t="s">
        <v>542</v>
      </c>
      <c r="AE111" s="17" t="s">
        <v>541</v>
      </c>
    </row>
    <row r="112" spans="1:31" ht="17">
      <c r="A112" s="4" t="s">
        <v>7</v>
      </c>
      <c r="B112" s="2" t="s">
        <v>151</v>
      </c>
      <c r="C112" s="8" t="s">
        <v>290</v>
      </c>
      <c r="D112" s="15"/>
      <c r="E112" s="8" t="s">
        <v>290</v>
      </c>
      <c r="F112" s="4"/>
      <c r="G112" s="4"/>
      <c r="H112" s="4"/>
      <c r="I112" s="4"/>
      <c r="J112" s="4"/>
      <c r="K112" s="8"/>
      <c r="L112" s="8"/>
      <c r="M112" s="8"/>
      <c r="N112" s="8"/>
      <c r="O112" s="8"/>
      <c r="P112" s="8"/>
      <c r="Q112" s="8"/>
      <c r="R112" s="8"/>
      <c r="S112" s="10"/>
      <c r="T112" s="11"/>
      <c r="U112" s="11"/>
      <c r="V112" s="10"/>
      <c r="W112" s="10"/>
      <c r="X112" s="10"/>
      <c r="Y112" s="10"/>
      <c r="Z112" s="10"/>
      <c r="AA112" s="10"/>
      <c r="AB112" s="10"/>
      <c r="AC112" s="8"/>
      <c r="AD112" s="16"/>
      <c r="AE112" s="17"/>
    </row>
    <row r="113" spans="1:31" ht="289">
      <c r="A113" s="4" t="s">
        <v>7</v>
      </c>
      <c r="B113" s="2" t="s">
        <v>638</v>
      </c>
      <c r="C113" s="23" t="s">
        <v>14</v>
      </c>
      <c r="D113" s="23" t="s">
        <v>14</v>
      </c>
      <c r="E113" s="8" t="s">
        <v>65</v>
      </c>
      <c r="F113" s="4">
        <v>0</v>
      </c>
      <c r="G113" s="4">
        <v>1</v>
      </c>
      <c r="H113" s="4">
        <v>0</v>
      </c>
      <c r="I113" s="4">
        <v>0</v>
      </c>
      <c r="J113" s="4" t="s">
        <v>344</v>
      </c>
      <c r="K113" s="8" t="s">
        <v>553</v>
      </c>
      <c r="L113" s="8">
        <v>0</v>
      </c>
      <c r="M113" s="8">
        <v>1</v>
      </c>
      <c r="N113" s="8" t="s">
        <v>65</v>
      </c>
      <c r="O113" s="8" t="s">
        <v>65</v>
      </c>
      <c r="P113" s="8">
        <v>2303</v>
      </c>
      <c r="Q113" s="8" t="s">
        <v>551</v>
      </c>
      <c r="R113" s="8" t="s">
        <v>562</v>
      </c>
      <c r="S113" s="10" t="s">
        <v>556</v>
      </c>
      <c r="T113" s="11" t="s">
        <v>1079</v>
      </c>
      <c r="U113" s="11" t="s">
        <v>554</v>
      </c>
      <c r="V113" s="10" t="s">
        <v>65</v>
      </c>
      <c r="W113" s="10" t="s">
        <v>555</v>
      </c>
      <c r="X113" s="10" t="s">
        <v>65</v>
      </c>
      <c r="Y113" s="10">
        <v>0</v>
      </c>
      <c r="Z113" s="10"/>
      <c r="AA113" s="10" t="s">
        <v>65</v>
      </c>
      <c r="AB113" s="10" t="s">
        <v>65</v>
      </c>
      <c r="AC113" s="8"/>
      <c r="AD113" s="8" t="s">
        <v>550</v>
      </c>
      <c r="AE113" s="8" t="s">
        <v>639</v>
      </c>
    </row>
    <row r="114" spans="1:31" ht="255">
      <c r="A114" s="4" t="s">
        <v>7</v>
      </c>
      <c r="B114" s="2" t="s">
        <v>152</v>
      </c>
      <c r="C114" s="23" t="s">
        <v>14</v>
      </c>
      <c r="D114" s="23" t="s">
        <v>14</v>
      </c>
      <c r="E114" s="8" t="s">
        <v>65</v>
      </c>
      <c r="F114" s="4">
        <v>0</v>
      </c>
      <c r="G114" s="4">
        <v>1</v>
      </c>
      <c r="H114" s="4">
        <v>0</v>
      </c>
      <c r="I114" s="4">
        <v>0</v>
      </c>
      <c r="J114" s="4" t="s">
        <v>344</v>
      </c>
      <c r="K114" s="8" t="s">
        <v>23</v>
      </c>
      <c r="L114" s="8">
        <v>0</v>
      </c>
      <c r="M114" s="8">
        <v>0</v>
      </c>
      <c r="N114" s="8" t="s">
        <v>65</v>
      </c>
      <c r="O114" s="8" t="s">
        <v>65</v>
      </c>
      <c r="P114" s="8">
        <v>424</v>
      </c>
      <c r="Q114" s="8" t="s">
        <v>559</v>
      </c>
      <c r="R114" s="8" t="s">
        <v>58</v>
      </c>
      <c r="S114" s="10" t="s">
        <v>569</v>
      </c>
      <c r="T114" s="10" t="s">
        <v>1041</v>
      </c>
      <c r="U114" s="10" t="s">
        <v>560</v>
      </c>
      <c r="V114" s="10" t="s">
        <v>65</v>
      </c>
      <c r="W114" s="10" t="s">
        <v>561</v>
      </c>
      <c r="X114" s="10" t="s">
        <v>65</v>
      </c>
      <c r="Y114" s="10">
        <v>1</v>
      </c>
      <c r="Z114" s="10" t="s">
        <v>682</v>
      </c>
      <c r="AA114" s="10" t="s">
        <v>723</v>
      </c>
      <c r="AB114" s="10" t="s">
        <v>723</v>
      </c>
      <c r="AC114" s="8"/>
      <c r="AD114" s="28" t="s">
        <v>558</v>
      </c>
      <c r="AE114" s="8" t="s">
        <v>557</v>
      </c>
    </row>
    <row r="115" spans="1:31" ht="17">
      <c r="A115" s="4" t="s">
        <v>7</v>
      </c>
      <c r="B115" s="2" t="s">
        <v>153</v>
      </c>
      <c r="C115" s="8" t="s">
        <v>290</v>
      </c>
      <c r="D115" s="8"/>
      <c r="E115" s="8" t="s">
        <v>290</v>
      </c>
      <c r="F115" s="4"/>
      <c r="G115" s="4"/>
      <c r="H115" s="4"/>
      <c r="I115" s="4"/>
      <c r="J115" s="4"/>
      <c r="K115" s="8"/>
      <c r="L115" s="8"/>
      <c r="M115" s="8"/>
      <c r="N115" s="8"/>
      <c r="O115" s="8"/>
      <c r="P115" s="8"/>
      <c r="Q115" s="8"/>
      <c r="R115" s="8"/>
      <c r="S115" s="10"/>
      <c r="T115" s="10"/>
      <c r="U115" s="10"/>
      <c r="V115" s="10"/>
      <c r="W115" s="10"/>
      <c r="X115" s="10"/>
      <c r="Y115" s="10"/>
      <c r="Z115" s="10"/>
      <c r="AA115" s="10"/>
      <c r="AB115" s="10"/>
      <c r="AC115" s="8"/>
      <c r="AD115" s="8"/>
      <c r="AE115" s="8"/>
    </row>
    <row r="116" spans="1:31" ht="255">
      <c r="A116" s="4" t="s">
        <v>7</v>
      </c>
      <c r="B116" s="2" t="s">
        <v>154</v>
      </c>
      <c r="C116" s="23" t="s">
        <v>14</v>
      </c>
      <c r="D116" s="23" t="s">
        <v>14</v>
      </c>
      <c r="E116" s="8" t="s">
        <v>65</v>
      </c>
      <c r="F116" s="11">
        <v>1</v>
      </c>
      <c r="G116" s="11">
        <v>0</v>
      </c>
      <c r="H116" s="11">
        <v>0</v>
      </c>
      <c r="I116" s="11">
        <v>0</v>
      </c>
      <c r="J116" s="4" t="s">
        <v>405</v>
      </c>
      <c r="K116" s="8" t="s">
        <v>23</v>
      </c>
      <c r="L116" s="8">
        <v>1</v>
      </c>
      <c r="M116" s="8">
        <v>1</v>
      </c>
      <c r="N116" s="8" t="s">
        <v>565</v>
      </c>
      <c r="O116" s="8">
        <v>0</v>
      </c>
      <c r="P116" s="8">
        <v>7929</v>
      </c>
      <c r="Q116" s="8" t="s">
        <v>362</v>
      </c>
      <c r="R116" s="8" t="s">
        <v>420</v>
      </c>
      <c r="S116" s="10" t="s">
        <v>570</v>
      </c>
      <c r="T116" s="10" t="s">
        <v>567</v>
      </c>
      <c r="U116" s="10" t="s">
        <v>65</v>
      </c>
      <c r="V116" s="10" t="s">
        <v>566</v>
      </c>
      <c r="W116" s="10" t="s">
        <v>568</v>
      </c>
      <c r="X116" s="10" t="s">
        <v>65</v>
      </c>
      <c r="Y116" s="10">
        <v>0</v>
      </c>
      <c r="Z116" s="10"/>
      <c r="AA116" s="10" t="s">
        <v>65</v>
      </c>
      <c r="AB116" s="10" t="s">
        <v>65</v>
      </c>
      <c r="AC116" s="8"/>
      <c r="AD116" s="28" t="s">
        <v>563</v>
      </c>
      <c r="AE116" s="8" t="s">
        <v>564</v>
      </c>
    </row>
    <row r="117" spans="1:31" ht="272">
      <c r="A117" s="4" t="s">
        <v>7</v>
      </c>
      <c r="B117" s="2" t="s">
        <v>155</v>
      </c>
      <c r="C117" s="23" t="s">
        <v>14</v>
      </c>
      <c r="D117" s="23" t="s">
        <v>14</v>
      </c>
      <c r="E117" s="8" t="s">
        <v>65</v>
      </c>
      <c r="F117" s="4">
        <v>0</v>
      </c>
      <c r="G117" s="4">
        <v>1</v>
      </c>
      <c r="H117" s="4">
        <v>0</v>
      </c>
      <c r="I117" s="4">
        <v>0</v>
      </c>
      <c r="J117" s="4" t="s">
        <v>344</v>
      </c>
      <c r="K117" s="8" t="s">
        <v>23</v>
      </c>
      <c r="L117" s="8">
        <v>1</v>
      </c>
      <c r="M117" s="8">
        <v>0</v>
      </c>
      <c r="N117" s="8" t="s">
        <v>574</v>
      </c>
      <c r="O117" s="8">
        <v>0</v>
      </c>
      <c r="P117" s="8">
        <v>303</v>
      </c>
      <c r="Q117" s="8" t="s">
        <v>576</v>
      </c>
      <c r="R117" s="8" t="s">
        <v>58</v>
      </c>
      <c r="S117" s="10" t="s">
        <v>573</v>
      </c>
      <c r="T117" s="10" t="s">
        <v>1042</v>
      </c>
      <c r="U117" s="10" t="s">
        <v>575</v>
      </c>
      <c r="V117" s="10" t="s">
        <v>65</v>
      </c>
      <c r="W117" s="10" t="s">
        <v>1065</v>
      </c>
      <c r="X117" s="10" t="s">
        <v>65</v>
      </c>
      <c r="Y117" s="10">
        <v>1</v>
      </c>
      <c r="Z117" s="10" t="s">
        <v>682</v>
      </c>
      <c r="AA117" s="10" t="s">
        <v>723</v>
      </c>
      <c r="AB117" s="10" t="s">
        <v>723</v>
      </c>
      <c r="AC117" s="8"/>
      <c r="AD117" s="8" t="s">
        <v>572</v>
      </c>
      <c r="AE117" s="8" t="s">
        <v>571</v>
      </c>
    </row>
    <row r="118" spans="1:31" ht="17">
      <c r="A118" s="4" t="s">
        <v>7</v>
      </c>
      <c r="B118" s="2" t="s">
        <v>156</v>
      </c>
      <c r="C118" s="8" t="s">
        <v>290</v>
      </c>
      <c r="D118" s="15"/>
      <c r="E118" s="8" t="s">
        <v>290</v>
      </c>
      <c r="F118" s="4"/>
      <c r="G118" s="4"/>
      <c r="H118" s="4"/>
      <c r="I118" s="4"/>
      <c r="J118" s="4"/>
      <c r="K118" s="8"/>
      <c r="L118" s="8"/>
      <c r="M118" s="8"/>
      <c r="N118" s="8"/>
      <c r="O118" s="8"/>
      <c r="P118" s="8"/>
      <c r="Q118" s="8"/>
      <c r="R118" s="8"/>
      <c r="S118" s="10"/>
      <c r="T118" s="10"/>
      <c r="U118" s="10"/>
      <c r="V118" s="10"/>
      <c r="W118" s="10"/>
      <c r="X118" s="10"/>
      <c r="Y118" s="10"/>
      <c r="Z118" s="10"/>
      <c r="AA118" s="10"/>
      <c r="AB118" s="10"/>
      <c r="AC118" s="8"/>
      <c r="AD118" s="8"/>
      <c r="AE118" s="8"/>
    </row>
    <row r="119" spans="1:31" ht="255">
      <c r="A119" s="4" t="s">
        <v>10</v>
      </c>
      <c r="B119" s="2" t="s">
        <v>157</v>
      </c>
      <c r="C119" s="23" t="s">
        <v>14</v>
      </c>
      <c r="D119" s="23" t="s">
        <v>14</v>
      </c>
      <c r="E119" s="8" t="s">
        <v>65</v>
      </c>
      <c r="F119" s="4">
        <v>0</v>
      </c>
      <c r="G119" s="4">
        <v>1</v>
      </c>
      <c r="H119" s="4">
        <v>0</v>
      </c>
      <c r="I119" s="4">
        <v>0</v>
      </c>
      <c r="J119" s="4" t="s">
        <v>344</v>
      </c>
      <c r="K119" s="8" t="s">
        <v>682</v>
      </c>
      <c r="L119" s="8">
        <v>0</v>
      </c>
      <c r="M119" s="8">
        <v>0</v>
      </c>
      <c r="N119" s="8" t="s">
        <v>65</v>
      </c>
      <c r="O119" s="8">
        <v>0</v>
      </c>
      <c r="P119" s="8">
        <v>7907</v>
      </c>
      <c r="Q119" s="8" t="s">
        <v>543</v>
      </c>
      <c r="R119" s="8" t="s">
        <v>368</v>
      </c>
      <c r="S119" s="4" t="s">
        <v>599</v>
      </c>
      <c r="T119" s="4" t="s">
        <v>1080</v>
      </c>
      <c r="U119" s="4" t="s">
        <v>597</v>
      </c>
      <c r="V119" s="4" t="s">
        <v>923</v>
      </c>
      <c r="W119" s="4" t="s">
        <v>598</v>
      </c>
      <c r="X119" s="4" t="s">
        <v>65</v>
      </c>
      <c r="Y119" s="4">
        <v>1</v>
      </c>
      <c r="Z119" s="4" t="s">
        <v>682</v>
      </c>
      <c r="AA119" s="4" t="s">
        <v>1054</v>
      </c>
      <c r="AB119" s="4" t="s">
        <v>596</v>
      </c>
      <c r="AC119" s="8"/>
      <c r="AD119" s="28" t="s">
        <v>594</v>
      </c>
      <c r="AE119" s="8" t="s">
        <v>595</v>
      </c>
    </row>
    <row r="120" spans="1:31" ht="289">
      <c r="A120" s="4" t="s">
        <v>7</v>
      </c>
      <c r="B120" s="2" t="s">
        <v>631</v>
      </c>
      <c r="C120" s="23" t="s">
        <v>14</v>
      </c>
      <c r="D120" s="23" t="s">
        <v>14</v>
      </c>
      <c r="E120" s="8" t="s">
        <v>65</v>
      </c>
      <c r="F120" s="4">
        <v>0</v>
      </c>
      <c r="G120" s="4">
        <v>0</v>
      </c>
      <c r="H120" s="4">
        <v>1</v>
      </c>
      <c r="I120" s="4">
        <v>0</v>
      </c>
      <c r="J120" s="4" t="s">
        <v>603</v>
      </c>
      <c r="K120" s="8" t="s">
        <v>23</v>
      </c>
      <c r="L120" s="8">
        <v>0</v>
      </c>
      <c r="M120" s="8">
        <v>0</v>
      </c>
      <c r="N120" s="8" t="s">
        <v>65</v>
      </c>
      <c r="O120" s="8">
        <v>0</v>
      </c>
      <c r="P120" s="8">
        <v>13362</v>
      </c>
      <c r="Q120" s="8" t="s">
        <v>362</v>
      </c>
      <c r="R120" s="8" t="s">
        <v>635</v>
      </c>
      <c r="S120" s="4" t="s">
        <v>580</v>
      </c>
      <c r="T120" s="4" t="s">
        <v>637</v>
      </c>
      <c r="U120" s="4" t="s">
        <v>637</v>
      </c>
      <c r="V120" s="4" t="s">
        <v>496</v>
      </c>
      <c r="W120" s="4" t="s">
        <v>636</v>
      </c>
      <c r="X120" s="4" t="s">
        <v>65</v>
      </c>
      <c r="Y120" s="4">
        <v>0</v>
      </c>
      <c r="Z120" s="4"/>
      <c r="AA120" s="4" t="s">
        <v>65</v>
      </c>
      <c r="AB120" s="4" t="s">
        <v>65</v>
      </c>
      <c r="AC120" s="8"/>
      <c r="AD120" s="28" t="s">
        <v>633</v>
      </c>
      <c r="AE120" s="8" t="s">
        <v>632</v>
      </c>
    </row>
    <row r="121" spans="1:31" ht="17">
      <c r="A121" s="4" t="s">
        <v>7</v>
      </c>
      <c r="B121" s="2" t="s">
        <v>158</v>
      </c>
      <c r="C121" s="25" t="s">
        <v>15</v>
      </c>
      <c r="D121" s="8"/>
      <c r="E121" s="8" t="s">
        <v>298</v>
      </c>
      <c r="F121" s="4"/>
      <c r="G121" s="4"/>
      <c r="H121" s="4"/>
      <c r="I121" s="4"/>
      <c r="J121" s="4"/>
      <c r="K121" s="8"/>
      <c r="L121" s="8"/>
      <c r="M121" s="8"/>
      <c r="N121" s="8"/>
      <c r="O121" s="8"/>
      <c r="P121" s="8"/>
      <c r="Q121" s="8"/>
      <c r="R121" s="8"/>
      <c r="S121" s="4"/>
      <c r="T121" s="4"/>
      <c r="U121" s="4"/>
      <c r="V121" s="4"/>
      <c r="W121" s="4"/>
      <c r="X121" s="4"/>
      <c r="Y121" s="4"/>
      <c r="Z121" s="4"/>
      <c r="AA121" s="4"/>
      <c r="AB121" s="4"/>
      <c r="AC121" s="8"/>
      <c r="AD121" s="8"/>
      <c r="AE121" s="8"/>
    </row>
    <row r="122" spans="1:31" ht="17">
      <c r="A122" s="4" t="s">
        <v>10</v>
      </c>
      <c r="B122" s="2" t="s">
        <v>159</v>
      </c>
      <c r="C122" s="25" t="s">
        <v>15</v>
      </c>
      <c r="D122" s="8"/>
      <c r="E122" s="8" t="s">
        <v>298</v>
      </c>
      <c r="F122" s="4"/>
      <c r="G122" s="4"/>
      <c r="H122" s="4"/>
      <c r="I122" s="4"/>
      <c r="J122" s="4"/>
      <c r="K122" s="8"/>
      <c r="L122" s="8"/>
      <c r="M122" s="8"/>
      <c r="N122" s="8"/>
      <c r="O122" s="8"/>
      <c r="P122" s="8"/>
      <c r="Q122" s="8"/>
      <c r="R122" s="8"/>
      <c r="S122" s="4"/>
      <c r="T122" s="4"/>
      <c r="U122" s="4"/>
      <c r="V122" s="4"/>
      <c r="W122" s="4"/>
      <c r="X122" s="4"/>
      <c r="Y122" s="4"/>
      <c r="Z122" s="4"/>
      <c r="AA122" s="4"/>
      <c r="AB122" s="4"/>
      <c r="AC122" s="8"/>
      <c r="AD122" s="8"/>
      <c r="AE122" s="8"/>
    </row>
    <row r="123" spans="1:31" ht="255">
      <c r="A123" s="4" t="s">
        <v>7</v>
      </c>
      <c r="B123" s="2" t="s">
        <v>160</v>
      </c>
      <c r="C123" s="23" t="s">
        <v>14</v>
      </c>
      <c r="D123" s="23" t="s">
        <v>14</v>
      </c>
      <c r="E123" s="8" t="s">
        <v>65</v>
      </c>
      <c r="F123" s="4">
        <v>1</v>
      </c>
      <c r="G123" s="4">
        <v>0</v>
      </c>
      <c r="H123" s="4">
        <v>0</v>
      </c>
      <c r="I123" s="4">
        <v>0</v>
      </c>
      <c r="J123" s="4" t="s">
        <v>603</v>
      </c>
      <c r="K123" s="8" t="s">
        <v>23</v>
      </c>
      <c r="L123" s="8">
        <v>1</v>
      </c>
      <c r="M123" s="8">
        <v>0</v>
      </c>
      <c r="N123" s="8" t="s">
        <v>574</v>
      </c>
      <c r="O123" s="8">
        <v>0</v>
      </c>
      <c r="P123" s="8">
        <v>303</v>
      </c>
      <c r="Q123" s="8" t="s">
        <v>576</v>
      </c>
      <c r="R123" s="8" t="s">
        <v>607</v>
      </c>
      <c r="S123" s="4" t="s">
        <v>604</v>
      </c>
      <c r="T123" s="4" t="s">
        <v>1043</v>
      </c>
      <c r="U123" s="4" t="s">
        <v>447</v>
      </c>
      <c r="V123" s="4" t="s">
        <v>601</v>
      </c>
      <c r="W123" s="4" t="s">
        <v>602</v>
      </c>
      <c r="X123" s="10" t="s">
        <v>65</v>
      </c>
      <c r="Y123" s="10">
        <v>1</v>
      </c>
      <c r="Z123" s="10" t="s">
        <v>682</v>
      </c>
      <c r="AA123" s="10" t="s">
        <v>723</v>
      </c>
      <c r="AB123" s="10" t="s">
        <v>723</v>
      </c>
      <c r="AC123" s="8"/>
      <c r="AD123" s="8" t="s">
        <v>600</v>
      </c>
      <c r="AE123" s="8" t="s">
        <v>1019</v>
      </c>
    </row>
    <row r="124" spans="1:31" ht="17">
      <c r="A124" s="4" t="s">
        <v>7</v>
      </c>
      <c r="B124" s="2" t="s">
        <v>161</v>
      </c>
      <c r="C124" s="25" t="s">
        <v>15</v>
      </c>
      <c r="D124" s="8"/>
      <c r="E124" s="8" t="s">
        <v>298</v>
      </c>
      <c r="F124" s="4"/>
      <c r="G124" s="4"/>
      <c r="H124" s="4"/>
      <c r="I124" s="4"/>
      <c r="J124" s="4"/>
      <c r="K124" s="8"/>
      <c r="L124" s="8"/>
      <c r="M124" s="8"/>
      <c r="N124" s="8"/>
      <c r="O124" s="8"/>
      <c r="P124" s="8"/>
      <c r="Q124" s="8"/>
      <c r="R124" s="8"/>
      <c r="S124" s="4"/>
      <c r="T124" s="4"/>
      <c r="U124" s="4"/>
      <c r="V124" s="4"/>
      <c r="W124" s="4"/>
      <c r="X124" s="4"/>
      <c r="Y124" s="4"/>
      <c r="Z124" s="4"/>
      <c r="AA124" s="4"/>
      <c r="AB124" s="4"/>
      <c r="AC124" s="8"/>
      <c r="AD124" s="8"/>
      <c r="AE124" s="8"/>
    </row>
    <row r="125" spans="1:31" ht="272">
      <c r="A125" s="4" t="s">
        <v>7</v>
      </c>
      <c r="B125" s="2" t="s">
        <v>162</v>
      </c>
      <c r="C125" s="23" t="s">
        <v>14</v>
      </c>
      <c r="D125" s="23" t="s">
        <v>14</v>
      </c>
      <c r="E125" s="8" t="s">
        <v>65</v>
      </c>
      <c r="F125" s="4">
        <v>0</v>
      </c>
      <c r="G125" s="4">
        <v>1</v>
      </c>
      <c r="H125" s="4">
        <v>0</v>
      </c>
      <c r="I125" s="4">
        <v>0</v>
      </c>
      <c r="J125" s="4" t="s">
        <v>344</v>
      </c>
      <c r="K125" s="8" t="s">
        <v>23</v>
      </c>
      <c r="L125" s="8">
        <v>1</v>
      </c>
      <c r="M125" s="8">
        <v>0</v>
      </c>
      <c r="N125" s="8" t="s">
        <v>610</v>
      </c>
      <c r="O125" s="8">
        <v>0</v>
      </c>
      <c r="P125" s="8">
        <v>303</v>
      </c>
      <c r="Q125" s="8" t="s">
        <v>362</v>
      </c>
      <c r="R125" s="8" t="s">
        <v>58</v>
      </c>
      <c r="S125" s="4" t="s">
        <v>65</v>
      </c>
      <c r="T125" s="4" t="s">
        <v>608</v>
      </c>
      <c r="U125" s="4" t="s">
        <v>402</v>
      </c>
      <c r="V125" s="4" t="s">
        <v>65</v>
      </c>
      <c r="W125" s="4" t="s">
        <v>609</v>
      </c>
      <c r="X125" s="4" t="s">
        <v>65</v>
      </c>
      <c r="Y125" s="4">
        <v>0</v>
      </c>
      <c r="Z125" s="4"/>
      <c r="AA125" s="4" t="s">
        <v>65</v>
      </c>
      <c r="AB125" s="4" t="s">
        <v>65</v>
      </c>
      <c r="AC125" s="8"/>
      <c r="AD125" s="28" t="s">
        <v>605</v>
      </c>
      <c r="AE125" s="8" t="s">
        <v>606</v>
      </c>
    </row>
    <row r="126" spans="1:31" ht="17">
      <c r="A126" s="4" t="s">
        <v>7</v>
      </c>
      <c r="B126" s="2" t="s">
        <v>163</v>
      </c>
      <c r="C126" s="25" t="s">
        <v>15</v>
      </c>
      <c r="D126" s="8"/>
      <c r="E126" s="8" t="s">
        <v>298</v>
      </c>
      <c r="F126" s="4"/>
      <c r="G126" s="4"/>
      <c r="H126" s="4"/>
      <c r="I126" s="4"/>
      <c r="J126" s="4"/>
      <c r="K126" s="8"/>
      <c r="L126" s="8"/>
      <c r="M126" s="8"/>
      <c r="N126" s="8"/>
      <c r="O126" s="8"/>
      <c r="P126" s="8"/>
      <c r="Q126" s="8"/>
      <c r="R126" s="8"/>
      <c r="S126" s="4"/>
      <c r="T126" s="4"/>
      <c r="U126" s="4"/>
      <c r="V126" s="4"/>
      <c r="W126" s="4"/>
      <c r="X126" s="4"/>
      <c r="Y126" s="4"/>
      <c r="Z126" s="4"/>
      <c r="AA126" s="4"/>
      <c r="AB126" s="4"/>
      <c r="AC126" s="8"/>
      <c r="AD126" s="8"/>
      <c r="AE126" s="8"/>
    </row>
    <row r="127" spans="1:31" ht="255">
      <c r="A127" s="4" t="s">
        <v>7</v>
      </c>
      <c r="B127" s="2" t="s">
        <v>611</v>
      </c>
      <c r="C127" s="23" t="s">
        <v>14</v>
      </c>
      <c r="D127" s="23" t="s">
        <v>14</v>
      </c>
      <c r="E127" s="8" t="s">
        <v>65</v>
      </c>
      <c r="F127" s="4">
        <v>0</v>
      </c>
      <c r="G127" s="4">
        <v>1</v>
      </c>
      <c r="H127" s="4">
        <v>0</v>
      </c>
      <c r="I127" s="4">
        <v>0</v>
      </c>
      <c r="J127" s="4" t="s">
        <v>344</v>
      </c>
      <c r="K127" s="8" t="s">
        <v>682</v>
      </c>
      <c r="L127" s="8">
        <v>0</v>
      </c>
      <c r="M127" s="8">
        <v>0</v>
      </c>
      <c r="N127" s="8" t="s">
        <v>65</v>
      </c>
      <c r="O127" s="8">
        <v>1</v>
      </c>
      <c r="P127" s="8">
        <v>4951</v>
      </c>
      <c r="Q127" s="8" t="s">
        <v>614</v>
      </c>
      <c r="R127" s="8" t="s">
        <v>368</v>
      </c>
      <c r="S127" s="4" t="s">
        <v>985</v>
      </c>
      <c r="T127" s="4" t="s">
        <v>1081</v>
      </c>
      <c r="U127" s="4" t="s">
        <v>986</v>
      </c>
      <c r="V127" s="4" t="s">
        <v>65</v>
      </c>
      <c r="W127" s="4" t="s">
        <v>987</v>
      </c>
      <c r="X127" s="4" t="s">
        <v>988</v>
      </c>
      <c r="Y127" s="4">
        <v>1</v>
      </c>
      <c r="Z127" s="4" t="s">
        <v>682</v>
      </c>
      <c r="AA127" s="4" t="s">
        <v>1035</v>
      </c>
      <c r="AB127" s="4" t="s">
        <v>985</v>
      </c>
      <c r="AC127" s="8"/>
      <c r="AD127" s="28" t="s">
        <v>613</v>
      </c>
      <c r="AE127" s="8" t="s">
        <v>612</v>
      </c>
    </row>
    <row r="128" spans="1:31" ht="17">
      <c r="A128" s="4" t="s">
        <v>7</v>
      </c>
      <c r="B128" s="2" t="s">
        <v>164</v>
      </c>
      <c r="C128" s="25" t="s">
        <v>15</v>
      </c>
      <c r="D128" s="8"/>
      <c r="E128" s="8" t="s">
        <v>298</v>
      </c>
      <c r="F128" s="4"/>
      <c r="G128" s="4"/>
      <c r="H128" s="4"/>
      <c r="I128" s="4"/>
      <c r="J128" s="4"/>
      <c r="K128" s="8"/>
      <c r="L128" s="8"/>
      <c r="M128" s="8"/>
      <c r="N128" s="8"/>
      <c r="O128" s="8"/>
      <c r="P128" s="8"/>
      <c r="Q128" s="8"/>
      <c r="R128" s="8"/>
      <c r="S128" s="4"/>
      <c r="T128" s="4"/>
      <c r="U128" s="4"/>
      <c r="V128" s="4"/>
      <c r="W128" s="4"/>
      <c r="X128" s="4"/>
      <c r="Y128" s="4"/>
      <c r="Z128" s="4"/>
      <c r="AA128" s="4"/>
      <c r="AB128" s="4"/>
      <c r="AC128" s="8"/>
      <c r="AD128" s="8"/>
      <c r="AE128" s="8"/>
    </row>
    <row r="129" spans="1:31" ht="272">
      <c r="A129" s="4" t="s">
        <v>7</v>
      </c>
      <c r="B129" s="2" t="s">
        <v>640</v>
      </c>
      <c r="C129" s="23" t="s">
        <v>14</v>
      </c>
      <c r="D129" s="23" t="s">
        <v>14</v>
      </c>
      <c r="E129" s="8" t="s">
        <v>65</v>
      </c>
      <c r="F129" s="4">
        <v>0</v>
      </c>
      <c r="G129" s="4">
        <v>1</v>
      </c>
      <c r="H129" s="4">
        <v>1</v>
      </c>
      <c r="I129" s="4">
        <v>0</v>
      </c>
      <c r="J129" s="4" t="s">
        <v>344</v>
      </c>
      <c r="K129" s="8" t="s">
        <v>23</v>
      </c>
      <c r="L129" s="8">
        <v>0</v>
      </c>
      <c r="M129" s="8">
        <v>0</v>
      </c>
      <c r="N129" s="8" t="s">
        <v>65</v>
      </c>
      <c r="O129" s="8" t="s">
        <v>65</v>
      </c>
      <c r="P129" s="8" t="s">
        <v>65</v>
      </c>
      <c r="Q129" s="8" t="s">
        <v>586</v>
      </c>
      <c r="R129" s="8" t="s">
        <v>58</v>
      </c>
      <c r="S129" s="4" t="s">
        <v>65</v>
      </c>
      <c r="T129" s="4" t="s">
        <v>643</v>
      </c>
      <c r="U129" s="4" t="s">
        <v>644</v>
      </c>
      <c r="V129" s="4" t="s">
        <v>65</v>
      </c>
      <c r="W129" s="4" t="s">
        <v>645</v>
      </c>
      <c r="X129" s="4" t="s">
        <v>65</v>
      </c>
      <c r="Y129" s="4">
        <v>0</v>
      </c>
      <c r="Z129" s="4"/>
      <c r="AA129" s="4" t="s">
        <v>65</v>
      </c>
      <c r="AB129" s="4" t="s">
        <v>65</v>
      </c>
      <c r="AC129" s="8"/>
      <c r="AD129" s="8" t="s">
        <v>642</v>
      </c>
      <c r="AE129" s="8" t="s">
        <v>641</v>
      </c>
    </row>
    <row r="130" spans="1:31" ht="272">
      <c r="A130" s="4" t="s">
        <v>7</v>
      </c>
      <c r="B130" s="2" t="s">
        <v>165</v>
      </c>
      <c r="C130" s="23" t="s">
        <v>14</v>
      </c>
      <c r="D130" s="23" t="s">
        <v>14</v>
      </c>
      <c r="E130" s="8" t="s">
        <v>65</v>
      </c>
      <c r="F130" s="4">
        <v>0</v>
      </c>
      <c r="G130" s="4">
        <v>0</v>
      </c>
      <c r="H130" s="4">
        <v>1</v>
      </c>
      <c r="I130" s="4">
        <v>0</v>
      </c>
      <c r="J130" s="4" t="s">
        <v>344</v>
      </c>
      <c r="K130" s="8" t="s">
        <v>23</v>
      </c>
      <c r="L130" s="8">
        <v>0</v>
      </c>
      <c r="M130" s="8">
        <v>0</v>
      </c>
      <c r="N130" s="8" t="s">
        <v>499</v>
      </c>
      <c r="O130" s="8" t="s">
        <v>65</v>
      </c>
      <c r="P130" s="8">
        <v>185</v>
      </c>
      <c r="Q130" s="8" t="s">
        <v>648</v>
      </c>
      <c r="R130" s="8" t="s">
        <v>58</v>
      </c>
      <c r="S130" s="4" t="s">
        <v>65</v>
      </c>
      <c r="T130" s="4" t="s">
        <v>402</v>
      </c>
      <c r="U130" s="4" t="s">
        <v>65</v>
      </c>
      <c r="V130" s="4" t="s">
        <v>65</v>
      </c>
      <c r="W130" s="4" t="s">
        <v>649</v>
      </c>
      <c r="X130" s="4" t="s">
        <v>65</v>
      </c>
      <c r="Y130" s="4">
        <v>0</v>
      </c>
      <c r="Z130" s="4"/>
      <c r="AA130" s="4" t="s">
        <v>65</v>
      </c>
      <c r="AB130" s="4" t="s">
        <v>65</v>
      </c>
      <c r="AC130" s="8"/>
      <c r="AD130" s="28" t="s">
        <v>646</v>
      </c>
      <c r="AE130" s="8" t="s">
        <v>647</v>
      </c>
    </row>
    <row r="131" spans="1:31" ht="340">
      <c r="A131" s="4" t="s">
        <v>7</v>
      </c>
      <c r="B131" s="2" t="s">
        <v>166</v>
      </c>
      <c r="C131" s="23" t="s">
        <v>14</v>
      </c>
      <c r="D131" s="23" t="s">
        <v>14</v>
      </c>
      <c r="E131" s="8" t="s">
        <v>65</v>
      </c>
      <c r="F131" s="4">
        <v>0</v>
      </c>
      <c r="G131" s="4">
        <v>1</v>
      </c>
      <c r="H131" s="4">
        <v>0</v>
      </c>
      <c r="I131" s="4">
        <v>0</v>
      </c>
      <c r="J131" s="4" t="s">
        <v>344</v>
      </c>
      <c r="K131" s="8" t="s">
        <v>23</v>
      </c>
      <c r="L131" s="8">
        <v>0</v>
      </c>
      <c r="M131" s="8">
        <v>0</v>
      </c>
      <c r="N131" s="8" t="s">
        <v>65</v>
      </c>
      <c r="O131" s="8" t="s">
        <v>65</v>
      </c>
      <c r="P131" s="8">
        <v>3316</v>
      </c>
      <c r="Q131" s="8" t="s">
        <v>362</v>
      </c>
      <c r="R131" s="8" t="s">
        <v>368</v>
      </c>
      <c r="S131" s="4" t="s">
        <v>653</v>
      </c>
      <c r="T131" s="4" t="s">
        <v>652</v>
      </c>
      <c r="U131" s="4" t="s">
        <v>654</v>
      </c>
      <c r="V131" s="4" t="s">
        <v>339</v>
      </c>
      <c r="W131" s="4" t="s">
        <v>655</v>
      </c>
      <c r="X131" s="4" t="s">
        <v>65</v>
      </c>
      <c r="Y131" s="4">
        <v>0</v>
      </c>
      <c r="Z131" s="4"/>
      <c r="AA131" s="4" t="s">
        <v>65</v>
      </c>
      <c r="AB131" s="4" t="s">
        <v>65</v>
      </c>
      <c r="AC131" s="8"/>
      <c r="AD131" s="28" t="s">
        <v>650</v>
      </c>
      <c r="AE131" s="8" t="s">
        <v>651</v>
      </c>
    </row>
    <row r="132" spans="1:31" ht="255">
      <c r="A132" s="4" t="s">
        <v>7</v>
      </c>
      <c r="B132" s="2" t="s">
        <v>167</v>
      </c>
      <c r="C132" s="23" t="s">
        <v>14</v>
      </c>
      <c r="D132" s="23" t="s">
        <v>14</v>
      </c>
      <c r="E132" s="8" t="s">
        <v>65</v>
      </c>
      <c r="F132" s="4">
        <v>0</v>
      </c>
      <c r="G132" s="4">
        <v>1</v>
      </c>
      <c r="H132" s="4">
        <v>0</v>
      </c>
      <c r="I132" s="4">
        <v>0</v>
      </c>
      <c r="J132" s="4" t="s">
        <v>344</v>
      </c>
      <c r="K132" s="8" t="s">
        <v>23</v>
      </c>
      <c r="L132" s="8">
        <v>0</v>
      </c>
      <c r="M132" s="8">
        <v>0</v>
      </c>
      <c r="N132" s="8" t="s">
        <v>65</v>
      </c>
      <c r="O132" s="8" t="s">
        <v>65</v>
      </c>
      <c r="P132" s="8">
        <v>2058</v>
      </c>
      <c r="Q132" s="8" t="s">
        <v>1029</v>
      </c>
      <c r="R132" s="8" t="s">
        <v>368</v>
      </c>
      <c r="S132" s="4" t="s">
        <v>65</v>
      </c>
      <c r="T132" s="4" t="s">
        <v>1010</v>
      </c>
      <c r="U132" s="4" t="s">
        <v>393</v>
      </c>
      <c r="V132" s="4" t="s">
        <v>496</v>
      </c>
      <c r="W132" s="4" t="s">
        <v>1011</v>
      </c>
      <c r="X132" s="4" t="s">
        <v>1012</v>
      </c>
      <c r="Y132" s="4">
        <v>1</v>
      </c>
      <c r="Z132" s="4" t="s">
        <v>682</v>
      </c>
      <c r="AA132" s="4" t="s">
        <v>723</v>
      </c>
      <c r="AB132" s="4" t="s">
        <v>723</v>
      </c>
      <c r="AC132" s="8"/>
      <c r="AD132" s="28" t="s">
        <v>656</v>
      </c>
      <c r="AE132" s="8" t="s">
        <v>657</v>
      </c>
    </row>
    <row r="133" spans="1:31" ht="17">
      <c r="A133" s="4" t="s">
        <v>7</v>
      </c>
      <c r="B133" s="2" t="s">
        <v>168</v>
      </c>
      <c r="C133" s="25" t="s">
        <v>15</v>
      </c>
      <c r="D133" s="8"/>
      <c r="E133" s="8" t="s">
        <v>298</v>
      </c>
      <c r="F133" s="4"/>
      <c r="G133" s="4"/>
      <c r="H133" s="4"/>
      <c r="I133" s="4"/>
      <c r="J133" s="4"/>
      <c r="K133" s="8"/>
      <c r="L133" s="8"/>
      <c r="M133" s="8"/>
      <c r="N133" s="8"/>
      <c r="O133" s="8"/>
      <c r="P133" s="8"/>
      <c r="Q133" s="8"/>
      <c r="R133" s="8"/>
      <c r="S133" s="4"/>
      <c r="T133" s="4"/>
      <c r="U133" s="4"/>
      <c r="V133" s="4"/>
      <c r="W133" s="4"/>
      <c r="X133" s="4"/>
      <c r="Y133" s="4"/>
      <c r="Z133" s="4"/>
      <c r="AA133" s="4"/>
      <c r="AB133" s="4"/>
      <c r="AC133" s="8"/>
      <c r="AD133" s="8"/>
      <c r="AE133" s="8"/>
    </row>
    <row r="134" spans="1:31" ht="17">
      <c r="A134" s="4" t="s">
        <v>7</v>
      </c>
      <c r="B134" s="2" t="s">
        <v>165</v>
      </c>
      <c r="C134" s="25" t="s">
        <v>15</v>
      </c>
      <c r="D134" s="8"/>
      <c r="E134" s="8" t="s">
        <v>298</v>
      </c>
      <c r="F134" s="4"/>
      <c r="G134" s="4"/>
      <c r="H134" s="4"/>
      <c r="I134" s="4"/>
      <c r="J134" s="4"/>
      <c r="K134" s="8"/>
      <c r="L134" s="8"/>
      <c r="M134" s="8"/>
      <c r="N134" s="8"/>
      <c r="O134" s="8"/>
      <c r="P134" s="8"/>
      <c r="Q134" s="8"/>
      <c r="R134" s="8"/>
      <c r="S134" s="4"/>
      <c r="T134" s="4"/>
      <c r="U134" s="4"/>
      <c r="V134" s="4"/>
      <c r="W134" s="4"/>
      <c r="X134" s="4"/>
      <c r="Y134" s="4"/>
      <c r="Z134" s="4"/>
      <c r="AA134" s="4"/>
      <c r="AB134" s="4"/>
      <c r="AC134" s="8"/>
      <c r="AD134" s="8"/>
      <c r="AE134" s="8"/>
    </row>
    <row r="135" spans="1:31" ht="272">
      <c r="A135" s="4" t="s">
        <v>7</v>
      </c>
      <c r="B135" s="2" t="s">
        <v>169</v>
      </c>
      <c r="C135" s="23" t="s">
        <v>14</v>
      </c>
      <c r="D135" s="23" t="s">
        <v>14</v>
      </c>
      <c r="E135" s="8" t="s">
        <v>65</v>
      </c>
      <c r="F135" s="4">
        <v>0</v>
      </c>
      <c r="G135" s="4">
        <v>0</v>
      </c>
      <c r="H135" s="4">
        <v>1</v>
      </c>
      <c r="I135" s="4">
        <v>0</v>
      </c>
      <c r="J135" s="4" t="s">
        <v>662</v>
      </c>
      <c r="K135" s="8" t="s">
        <v>23</v>
      </c>
      <c r="L135" s="8">
        <v>1</v>
      </c>
      <c r="M135" s="8">
        <v>1</v>
      </c>
      <c r="N135" s="8" t="s">
        <v>660</v>
      </c>
      <c r="O135" s="8" t="s">
        <v>661</v>
      </c>
      <c r="P135" s="8">
        <v>711</v>
      </c>
      <c r="Q135" s="8" t="s">
        <v>382</v>
      </c>
      <c r="R135" s="8" t="s">
        <v>674</v>
      </c>
      <c r="S135" s="4" t="s">
        <v>664</v>
      </c>
      <c r="T135" s="4" t="s">
        <v>663</v>
      </c>
      <c r="U135" s="4" t="s">
        <v>65</v>
      </c>
      <c r="V135" s="4" t="s">
        <v>65</v>
      </c>
      <c r="W135" s="4" t="s">
        <v>65</v>
      </c>
      <c r="X135" s="4" t="s">
        <v>65</v>
      </c>
      <c r="Y135" s="4">
        <v>0</v>
      </c>
      <c r="Z135" s="4"/>
      <c r="AA135" s="4" t="s">
        <v>65</v>
      </c>
      <c r="AB135" s="4" t="s">
        <v>65</v>
      </c>
      <c r="AC135" s="8"/>
      <c r="AD135" s="28" t="s">
        <v>659</v>
      </c>
      <c r="AE135" s="8" t="s">
        <v>658</v>
      </c>
    </row>
    <row r="136" spans="1:31" ht="17">
      <c r="A136" s="4" t="s">
        <v>7</v>
      </c>
      <c r="B136" s="2" t="s">
        <v>170</v>
      </c>
      <c r="C136" s="8" t="s">
        <v>290</v>
      </c>
      <c r="D136" s="15"/>
      <c r="E136" s="8" t="s">
        <v>290</v>
      </c>
      <c r="F136" s="4"/>
      <c r="G136" s="4"/>
      <c r="H136" s="4"/>
      <c r="I136" s="4"/>
      <c r="J136" s="4"/>
      <c r="K136" s="8"/>
      <c r="L136" s="8"/>
      <c r="M136" s="8"/>
      <c r="N136" s="8"/>
      <c r="O136" s="8"/>
      <c r="P136" s="8"/>
      <c r="Q136" s="8"/>
      <c r="R136" s="8"/>
      <c r="S136" s="4"/>
      <c r="T136" s="4"/>
      <c r="U136" s="4"/>
      <c r="V136" s="4"/>
      <c r="W136" s="4"/>
      <c r="X136" s="4"/>
      <c r="Y136" s="4"/>
      <c r="Z136" s="4"/>
      <c r="AA136" s="4"/>
      <c r="AB136" s="4"/>
      <c r="AC136" s="8"/>
      <c r="AD136" s="8"/>
      <c r="AE136" s="8"/>
    </row>
    <row r="137" spans="1:31" ht="17">
      <c r="A137" s="4" t="s">
        <v>7</v>
      </c>
      <c r="B137" s="2" t="s">
        <v>171</v>
      </c>
      <c r="C137" s="25" t="s">
        <v>15</v>
      </c>
      <c r="D137" s="8"/>
      <c r="E137" s="8" t="s">
        <v>298</v>
      </c>
      <c r="F137" s="4"/>
      <c r="G137" s="4"/>
      <c r="H137" s="4"/>
      <c r="I137" s="4"/>
      <c r="J137" s="4"/>
      <c r="K137" s="8"/>
      <c r="L137" s="8"/>
      <c r="M137" s="8"/>
      <c r="N137" s="8"/>
      <c r="O137" s="8"/>
      <c r="P137" s="8"/>
      <c r="Q137" s="8"/>
      <c r="R137" s="8"/>
      <c r="S137" s="4"/>
      <c r="T137" s="4"/>
      <c r="U137" s="4"/>
      <c r="V137" s="4"/>
      <c r="W137" s="4"/>
      <c r="X137" s="4"/>
      <c r="Y137" s="4"/>
      <c r="Z137" s="4"/>
      <c r="AA137" s="4"/>
      <c r="AB137" s="4"/>
      <c r="AC137" s="8"/>
      <c r="AD137" s="8"/>
      <c r="AE137" s="8"/>
    </row>
    <row r="138" spans="1:31" ht="17">
      <c r="A138" s="4" t="s">
        <v>7</v>
      </c>
      <c r="B138" s="2" t="s">
        <v>172</v>
      </c>
      <c r="C138" s="25" t="s">
        <v>15</v>
      </c>
      <c r="D138" s="8"/>
      <c r="E138" s="8" t="s">
        <v>298</v>
      </c>
      <c r="F138" s="4"/>
      <c r="G138" s="4"/>
      <c r="H138" s="4"/>
      <c r="I138" s="4"/>
      <c r="J138" s="4"/>
      <c r="K138" s="8"/>
      <c r="L138" s="8"/>
      <c r="M138" s="8"/>
      <c r="N138" s="8"/>
      <c r="O138" s="8"/>
      <c r="P138" s="8"/>
      <c r="Q138" s="8"/>
      <c r="R138" s="8"/>
      <c r="S138" s="4"/>
      <c r="T138" s="4"/>
      <c r="U138" s="4"/>
      <c r="V138" s="4"/>
      <c r="W138" s="4"/>
      <c r="X138" s="4"/>
      <c r="Y138" s="4"/>
      <c r="Z138" s="4"/>
      <c r="AA138" s="4"/>
      <c r="AB138" s="4"/>
      <c r="AC138" s="8"/>
      <c r="AD138" s="8"/>
      <c r="AE138" s="8"/>
    </row>
    <row r="139" spans="1:31" ht="255">
      <c r="A139" s="4" t="s">
        <v>7</v>
      </c>
      <c r="B139" s="2" t="s">
        <v>173</v>
      </c>
      <c r="C139" s="23" t="s">
        <v>14</v>
      </c>
      <c r="D139" s="23" t="s">
        <v>14</v>
      </c>
      <c r="E139" s="8" t="s">
        <v>65</v>
      </c>
      <c r="F139" s="4">
        <v>0</v>
      </c>
      <c r="G139" s="4">
        <v>1</v>
      </c>
      <c r="H139" s="4">
        <v>0</v>
      </c>
      <c r="I139" s="4">
        <v>0</v>
      </c>
      <c r="J139" s="4" t="s">
        <v>344</v>
      </c>
      <c r="K139" s="8" t="s">
        <v>23</v>
      </c>
      <c r="L139" s="8">
        <v>0</v>
      </c>
      <c r="M139" s="8">
        <v>0</v>
      </c>
      <c r="N139" s="8" t="s">
        <v>65</v>
      </c>
      <c r="O139" s="8" t="s">
        <v>65</v>
      </c>
      <c r="P139" s="8">
        <v>5819</v>
      </c>
      <c r="Q139" s="8" t="s">
        <v>362</v>
      </c>
      <c r="R139" s="8" t="s">
        <v>368</v>
      </c>
      <c r="S139" s="10" t="s">
        <v>668</v>
      </c>
      <c r="T139" s="4" t="s">
        <v>673</v>
      </c>
      <c r="U139" s="4" t="s">
        <v>629</v>
      </c>
      <c r="V139" s="10" t="s">
        <v>65</v>
      </c>
      <c r="W139" s="10" t="s">
        <v>667</v>
      </c>
      <c r="X139" s="10" t="s">
        <v>65</v>
      </c>
      <c r="Y139" s="10">
        <v>0</v>
      </c>
      <c r="Z139" s="10"/>
      <c r="AA139" s="10" t="s">
        <v>65</v>
      </c>
      <c r="AB139" s="10" t="s">
        <v>65</v>
      </c>
      <c r="AC139" s="8"/>
      <c r="AD139" s="8" t="s">
        <v>666</v>
      </c>
      <c r="AE139" s="8" t="s">
        <v>665</v>
      </c>
    </row>
    <row r="140" spans="1:31" ht="238">
      <c r="A140" s="4" t="s">
        <v>10</v>
      </c>
      <c r="B140" s="2" t="s">
        <v>174</v>
      </c>
      <c r="C140" s="23" t="s">
        <v>14</v>
      </c>
      <c r="D140" s="23" t="s">
        <v>14</v>
      </c>
      <c r="E140" s="8" t="s">
        <v>65</v>
      </c>
      <c r="F140" s="4">
        <v>1</v>
      </c>
      <c r="G140" s="4">
        <v>0</v>
      </c>
      <c r="H140" s="4">
        <v>0</v>
      </c>
      <c r="I140" s="4">
        <v>0</v>
      </c>
      <c r="J140" s="4" t="s">
        <v>405</v>
      </c>
      <c r="K140" s="8" t="s">
        <v>23</v>
      </c>
      <c r="L140" s="8">
        <v>1</v>
      </c>
      <c r="M140" s="8">
        <v>1</v>
      </c>
      <c r="N140" s="8" t="s">
        <v>671</v>
      </c>
      <c r="O140" s="8" t="s">
        <v>65</v>
      </c>
      <c r="P140" s="8">
        <v>165</v>
      </c>
      <c r="Q140" s="8" t="s">
        <v>382</v>
      </c>
      <c r="R140" s="8" t="s">
        <v>471</v>
      </c>
      <c r="S140" s="10" t="s">
        <v>65</v>
      </c>
      <c r="T140" s="4" t="s">
        <v>672</v>
      </c>
      <c r="U140" s="4" t="s">
        <v>65</v>
      </c>
      <c r="V140" s="21" t="s">
        <v>65</v>
      </c>
      <c r="W140" s="4" t="s">
        <v>65</v>
      </c>
      <c r="X140" s="4" t="s">
        <v>65</v>
      </c>
      <c r="Y140" s="10">
        <v>0</v>
      </c>
      <c r="Z140" s="10"/>
      <c r="AA140" s="10" t="s">
        <v>65</v>
      </c>
      <c r="AB140" s="10" t="s">
        <v>65</v>
      </c>
      <c r="AC140" s="8"/>
      <c r="AD140" s="28" t="s">
        <v>670</v>
      </c>
      <c r="AE140" s="8" t="s">
        <v>669</v>
      </c>
    </row>
    <row r="141" spans="1:31" ht="255">
      <c r="A141" s="4" t="s">
        <v>7</v>
      </c>
      <c r="B141" s="2" t="s">
        <v>175</v>
      </c>
      <c r="C141" s="25" t="s">
        <v>15</v>
      </c>
      <c r="D141" s="8" t="s">
        <v>65</v>
      </c>
      <c r="E141" s="8" t="s">
        <v>989</v>
      </c>
      <c r="F141" s="4"/>
      <c r="G141" s="4"/>
      <c r="H141" s="4"/>
      <c r="I141" s="4"/>
      <c r="J141" s="4"/>
      <c r="K141" s="8"/>
      <c r="L141" s="8"/>
      <c r="M141" s="8"/>
      <c r="N141" s="8"/>
      <c r="O141" s="8"/>
      <c r="P141" s="8"/>
      <c r="Q141" s="8"/>
      <c r="R141" s="8"/>
      <c r="S141" s="10"/>
      <c r="T141" s="14"/>
      <c r="U141" s="10"/>
      <c r="V141" s="21"/>
      <c r="W141" s="10"/>
      <c r="X141" s="10"/>
      <c r="Y141" s="10"/>
      <c r="Z141" s="10"/>
      <c r="AA141" s="10"/>
      <c r="AB141" s="10"/>
      <c r="AC141" s="8"/>
      <c r="AD141" s="8" t="s">
        <v>675</v>
      </c>
      <c r="AE141" s="8" t="s">
        <v>676</v>
      </c>
    </row>
    <row r="142" spans="1:31" ht="272">
      <c r="A142" s="4" t="s">
        <v>10</v>
      </c>
      <c r="B142" s="2" t="s">
        <v>176</v>
      </c>
      <c r="C142" s="23" t="s">
        <v>14</v>
      </c>
      <c r="D142" s="23" t="s">
        <v>14</v>
      </c>
      <c r="E142" s="8" t="s">
        <v>65</v>
      </c>
      <c r="F142" s="4">
        <v>1</v>
      </c>
      <c r="G142" s="4">
        <v>0</v>
      </c>
      <c r="H142" s="4">
        <v>0</v>
      </c>
      <c r="I142" s="4">
        <v>0</v>
      </c>
      <c r="J142" s="4" t="s">
        <v>405</v>
      </c>
      <c r="K142" s="8" t="s">
        <v>23</v>
      </c>
      <c r="L142" s="8">
        <v>0</v>
      </c>
      <c r="M142" s="8">
        <v>0</v>
      </c>
      <c r="N142" s="8" t="s">
        <v>65</v>
      </c>
      <c r="O142" s="8" t="s">
        <v>65</v>
      </c>
      <c r="P142" s="8">
        <v>2702</v>
      </c>
      <c r="Q142" s="8" t="s">
        <v>362</v>
      </c>
      <c r="R142" s="8" t="s">
        <v>420</v>
      </c>
      <c r="S142" s="10" t="s">
        <v>65</v>
      </c>
      <c r="T142" s="10" t="s">
        <v>679</v>
      </c>
      <c r="U142" s="10" t="s">
        <v>402</v>
      </c>
      <c r="V142" s="10" t="s">
        <v>65</v>
      </c>
      <c r="W142" s="10" t="s">
        <v>390</v>
      </c>
      <c r="X142" s="10" t="s">
        <v>65</v>
      </c>
      <c r="Y142" s="10">
        <v>0</v>
      </c>
      <c r="Z142" s="10"/>
      <c r="AA142" s="10" t="s">
        <v>65</v>
      </c>
      <c r="AB142" s="10" t="s">
        <v>65</v>
      </c>
      <c r="AC142" s="8"/>
      <c r="AD142" s="28" t="s">
        <v>678</v>
      </c>
      <c r="AE142" s="8" t="s">
        <v>677</v>
      </c>
    </row>
    <row r="143" spans="1:31" ht="306">
      <c r="A143" s="4" t="s">
        <v>10</v>
      </c>
      <c r="B143" s="2" t="s">
        <v>177</v>
      </c>
      <c r="C143" s="23" t="s">
        <v>14</v>
      </c>
      <c r="D143" s="23" t="s">
        <v>14</v>
      </c>
      <c r="E143" s="8" t="s">
        <v>65</v>
      </c>
      <c r="F143" s="4">
        <v>0</v>
      </c>
      <c r="G143" s="4">
        <v>1</v>
      </c>
      <c r="H143" s="4">
        <v>0</v>
      </c>
      <c r="I143" s="4">
        <v>0</v>
      </c>
      <c r="J143" s="4" t="s">
        <v>344</v>
      </c>
      <c r="K143" s="8" t="s">
        <v>682</v>
      </c>
      <c r="L143" s="8">
        <v>0</v>
      </c>
      <c r="M143" s="8">
        <v>0</v>
      </c>
      <c r="N143" s="8" t="s">
        <v>65</v>
      </c>
      <c r="O143" s="8">
        <v>0</v>
      </c>
      <c r="P143" s="8">
        <v>940</v>
      </c>
      <c r="Q143" s="8" t="s">
        <v>458</v>
      </c>
      <c r="R143" s="8" t="s">
        <v>368</v>
      </c>
      <c r="S143" s="10" t="s">
        <v>683</v>
      </c>
      <c r="T143" s="10" t="s">
        <v>1082</v>
      </c>
      <c r="U143" s="10" t="s">
        <v>685</v>
      </c>
      <c r="V143" s="10" t="s">
        <v>65</v>
      </c>
      <c r="W143" s="10" t="s">
        <v>686</v>
      </c>
      <c r="X143" s="10" t="s">
        <v>65</v>
      </c>
      <c r="Y143" s="10">
        <v>1</v>
      </c>
      <c r="Z143" s="10" t="s">
        <v>682</v>
      </c>
      <c r="AA143" s="10" t="s">
        <v>1052</v>
      </c>
      <c r="AB143" s="10" t="s">
        <v>684</v>
      </c>
      <c r="AC143" s="8"/>
      <c r="AD143" s="28" t="s">
        <v>681</v>
      </c>
      <c r="AE143" s="8" t="s">
        <v>680</v>
      </c>
    </row>
    <row r="144" spans="1:31" ht="17">
      <c r="A144" s="4" t="s">
        <v>7</v>
      </c>
      <c r="B144" s="2" t="s">
        <v>178</v>
      </c>
      <c r="C144" s="25" t="s">
        <v>15</v>
      </c>
      <c r="D144" s="8"/>
      <c r="E144" s="8" t="s">
        <v>18</v>
      </c>
      <c r="F144" s="12"/>
      <c r="G144" s="12"/>
      <c r="H144" s="12"/>
      <c r="I144" s="12"/>
      <c r="J144" s="4"/>
      <c r="K144" s="8"/>
      <c r="L144" s="8"/>
      <c r="M144" s="8"/>
      <c r="N144" s="8"/>
      <c r="O144" s="8"/>
      <c r="P144" s="8"/>
      <c r="Q144" s="8"/>
      <c r="R144" s="8"/>
      <c r="S144" s="10"/>
      <c r="T144" s="10"/>
      <c r="U144" s="10"/>
      <c r="V144" s="10"/>
      <c r="W144" s="10"/>
      <c r="X144" s="10"/>
      <c r="Y144" s="10"/>
      <c r="Z144" s="10"/>
      <c r="AA144" s="10"/>
      <c r="AB144" s="10"/>
      <c r="AC144" s="8"/>
      <c r="AD144" s="8"/>
      <c r="AE144" s="8"/>
    </row>
    <row r="145" spans="1:31" ht="272">
      <c r="A145" s="4" t="s">
        <v>7</v>
      </c>
      <c r="B145" s="2" t="s">
        <v>179</v>
      </c>
      <c r="C145" s="23" t="s">
        <v>14</v>
      </c>
      <c r="D145" s="23" t="s">
        <v>14</v>
      </c>
      <c r="E145" s="8" t="s">
        <v>65</v>
      </c>
      <c r="F145" s="4">
        <v>0</v>
      </c>
      <c r="G145" s="4">
        <v>0</v>
      </c>
      <c r="H145" s="4">
        <v>1</v>
      </c>
      <c r="I145" s="4">
        <v>0</v>
      </c>
      <c r="J145" s="4" t="s">
        <v>689</v>
      </c>
      <c r="K145" s="8" t="s">
        <v>23</v>
      </c>
      <c r="L145" s="8">
        <v>0</v>
      </c>
      <c r="M145" s="8">
        <v>1</v>
      </c>
      <c r="N145" s="8" t="s">
        <v>65</v>
      </c>
      <c r="O145" s="8">
        <v>0</v>
      </c>
      <c r="P145" s="8">
        <v>2301</v>
      </c>
      <c r="Q145" s="8" t="s">
        <v>362</v>
      </c>
      <c r="R145" s="8" t="s">
        <v>690</v>
      </c>
      <c r="S145" s="10" t="s">
        <v>65</v>
      </c>
      <c r="T145" s="10" t="s">
        <v>990</v>
      </c>
      <c r="U145" s="10" t="s">
        <v>361</v>
      </c>
      <c r="V145" s="10" t="s">
        <v>65</v>
      </c>
      <c r="W145" s="10" t="s">
        <v>65</v>
      </c>
      <c r="X145" s="10" t="s">
        <v>65</v>
      </c>
      <c r="Y145" s="10">
        <v>0</v>
      </c>
      <c r="Z145" s="10"/>
      <c r="AA145" s="10" t="s">
        <v>65</v>
      </c>
      <c r="AB145" s="10" t="s">
        <v>65</v>
      </c>
      <c r="AC145" s="8"/>
      <c r="AD145" s="28" t="s">
        <v>688</v>
      </c>
      <c r="AE145" s="8" t="s">
        <v>687</v>
      </c>
    </row>
    <row r="146" spans="1:31" ht="272">
      <c r="A146" s="4" t="s">
        <v>7</v>
      </c>
      <c r="B146" s="2" t="s">
        <v>180</v>
      </c>
      <c r="C146" s="23" t="s">
        <v>14</v>
      </c>
      <c r="D146" s="23" t="s">
        <v>14</v>
      </c>
      <c r="E146" s="8" t="s">
        <v>65</v>
      </c>
      <c r="F146" s="4">
        <v>0</v>
      </c>
      <c r="G146" s="4">
        <v>1</v>
      </c>
      <c r="H146" s="4">
        <v>0</v>
      </c>
      <c r="I146" s="4">
        <v>0</v>
      </c>
      <c r="J146" s="4" t="s">
        <v>344</v>
      </c>
      <c r="K146" s="8" t="s">
        <v>23</v>
      </c>
      <c r="L146" s="8">
        <v>1</v>
      </c>
      <c r="M146" s="8">
        <v>1</v>
      </c>
      <c r="N146" s="8" t="s">
        <v>503</v>
      </c>
      <c r="O146" s="8">
        <v>0</v>
      </c>
      <c r="P146" s="8">
        <v>93642</v>
      </c>
      <c r="Q146" s="8" t="s">
        <v>362</v>
      </c>
      <c r="R146" s="8" t="s">
        <v>997</v>
      </c>
      <c r="S146" s="10" t="s">
        <v>998</v>
      </c>
      <c r="T146" s="10" t="s">
        <v>1000</v>
      </c>
      <c r="U146" s="10" t="s">
        <v>361</v>
      </c>
      <c r="V146" s="10" t="s">
        <v>339</v>
      </c>
      <c r="W146" s="10" t="s">
        <v>999</v>
      </c>
      <c r="X146" s="10" t="s">
        <v>65</v>
      </c>
      <c r="Y146" s="10">
        <v>0</v>
      </c>
      <c r="Z146" s="10"/>
      <c r="AA146" s="10" t="s">
        <v>65</v>
      </c>
      <c r="AB146" s="10" t="s">
        <v>65</v>
      </c>
      <c r="AC146" s="8"/>
      <c r="AD146" s="28" t="s">
        <v>692</v>
      </c>
      <c r="AE146" s="8" t="s">
        <v>691</v>
      </c>
    </row>
    <row r="147" spans="1:31" ht="255">
      <c r="A147" s="4" t="s">
        <v>7</v>
      </c>
      <c r="B147" s="2" t="s">
        <v>181</v>
      </c>
      <c r="C147" s="23" t="s">
        <v>14</v>
      </c>
      <c r="D147" s="23" t="s">
        <v>14</v>
      </c>
      <c r="E147" s="8" t="s">
        <v>65</v>
      </c>
      <c r="F147" s="4">
        <v>1</v>
      </c>
      <c r="G147" s="4">
        <v>0</v>
      </c>
      <c r="H147" s="4">
        <v>0</v>
      </c>
      <c r="I147" s="4">
        <v>0</v>
      </c>
      <c r="J147" s="4" t="s">
        <v>405</v>
      </c>
      <c r="K147" s="8" t="s">
        <v>23</v>
      </c>
      <c r="L147" s="8">
        <v>1</v>
      </c>
      <c r="M147" s="8">
        <v>1</v>
      </c>
      <c r="N147" s="8" t="s">
        <v>695</v>
      </c>
      <c r="O147" s="8" t="s">
        <v>65</v>
      </c>
      <c r="P147" s="8">
        <v>3736</v>
      </c>
      <c r="Q147" s="8" t="s">
        <v>382</v>
      </c>
      <c r="R147" s="8" t="s">
        <v>471</v>
      </c>
      <c r="S147" s="10" t="s">
        <v>696</v>
      </c>
      <c r="T147" s="10" t="s">
        <v>697</v>
      </c>
      <c r="U147" s="10" t="s">
        <v>65</v>
      </c>
      <c r="V147" s="10" t="s">
        <v>698</v>
      </c>
      <c r="W147" s="10" t="s">
        <v>65</v>
      </c>
      <c r="X147" s="10" t="s">
        <v>65</v>
      </c>
      <c r="Y147" s="10">
        <v>0</v>
      </c>
      <c r="Z147" s="10"/>
      <c r="AA147" s="10" t="s">
        <v>65</v>
      </c>
      <c r="AB147" s="10" t="s">
        <v>65</v>
      </c>
      <c r="AC147" s="8"/>
      <c r="AD147" s="28" t="s">
        <v>694</v>
      </c>
      <c r="AE147" s="8" t="s">
        <v>693</v>
      </c>
    </row>
    <row r="148" spans="1:31" ht="238">
      <c r="A148" s="4" t="s">
        <v>10</v>
      </c>
      <c r="B148" s="2" t="s">
        <v>182</v>
      </c>
      <c r="C148" s="23" t="s">
        <v>14</v>
      </c>
      <c r="D148" s="23" t="s">
        <v>14</v>
      </c>
      <c r="E148" s="8" t="s">
        <v>65</v>
      </c>
      <c r="F148" s="11">
        <v>0</v>
      </c>
      <c r="G148" s="11">
        <v>0</v>
      </c>
      <c r="H148" s="11">
        <v>1</v>
      </c>
      <c r="I148" s="11">
        <v>1</v>
      </c>
      <c r="J148" s="11" t="s">
        <v>704</v>
      </c>
      <c r="K148" s="8" t="s">
        <v>23</v>
      </c>
      <c r="L148" s="8">
        <v>0</v>
      </c>
      <c r="M148" s="8">
        <v>1</v>
      </c>
      <c r="N148" s="8" t="s">
        <v>701</v>
      </c>
      <c r="O148" s="8" t="s">
        <v>65</v>
      </c>
      <c r="P148" s="8">
        <v>21460</v>
      </c>
      <c r="Q148" s="8" t="s">
        <v>707</v>
      </c>
      <c r="R148" s="8" t="s">
        <v>705</v>
      </c>
      <c r="S148" s="10" t="s">
        <v>702</v>
      </c>
      <c r="T148" s="10" t="s">
        <v>706</v>
      </c>
      <c r="U148" s="10" t="s">
        <v>402</v>
      </c>
      <c r="V148" s="10" t="s">
        <v>703</v>
      </c>
      <c r="W148" s="10" t="s">
        <v>708</v>
      </c>
      <c r="X148" s="10" t="s">
        <v>65</v>
      </c>
      <c r="Y148" s="10">
        <v>0</v>
      </c>
      <c r="Z148" s="10"/>
      <c r="AA148" s="10" t="s">
        <v>65</v>
      </c>
      <c r="AB148" s="10" t="s">
        <v>65</v>
      </c>
      <c r="AC148" s="8"/>
      <c r="AD148" s="28" t="s">
        <v>700</v>
      </c>
      <c r="AE148" s="8" t="s">
        <v>699</v>
      </c>
    </row>
    <row r="149" spans="1:31" ht="17">
      <c r="A149" s="4" t="s">
        <v>7</v>
      </c>
      <c r="B149" s="2" t="s">
        <v>183</v>
      </c>
      <c r="C149" s="25" t="s">
        <v>15</v>
      </c>
      <c r="D149" s="8"/>
      <c r="E149" s="8" t="s">
        <v>298</v>
      </c>
      <c r="F149" s="4"/>
      <c r="G149" s="4"/>
      <c r="H149" s="4"/>
      <c r="I149" s="4"/>
      <c r="J149" s="4"/>
      <c r="K149" s="8"/>
      <c r="L149" s="8"/>
      <c r="M149" s="8"/>
      <c r="N149" s="8"/>
      <c r="O149" s="8"/>
      <c r="P149" s="8"/>
      <c r="Q149" s="8"/>
      <c r="R149" s="8"/>
      <c r="S149" s="10"/>
      <c r="T149" s="10"/>
      <c r="U149" s="10"/>
      <c r="V149" s="10"/>
      <c r="W149" s="10"/>
      <c r="X149" s="10"/>
      <c r="Y149" s="10"/>
      <c r="Z149" s="10"/>
      <c r="AA149" s="10"/>
      <c r="AB149" s="10"/>
      <c r="AC149" s="8"/>
      <c r="AD149" s="8"/>
      <c r="AE149" s="8"/>
    </row>
    <row r="150" spans="1:31" ht="51">
      <c r="A150" s="4" t="s">
        <v>7</v>
      </c>
      <c r="B150" s="2" t="s">
        <v>184</v>
      </c>
      <c r="C150" s="25" t="s">
        <v>15</v>
      </c>
      <c r="D150" s="8" t="s">
        <v>65</v>
      </c>
      <c r="E150" s="8" t="s">
        <v>615</v>
      </c>
      <c r="F150" s="4"/>
      <c r="G150" s="4"/>
      <c r="H150" s="4"/>
      <c r="I150" s="4"/>
      <c r="J150" s="4"/>
      <c r="K150" s="8"/>
      <c r="L150" s="8"/>
      <c r="M150" s="8"/>
      <c r="N150" s="8"/>
      <c r="O150" s="8"/>
      <c r="P150" s="8"/>
      <c r="Q150" s="8"/>
      <c r="R150" s="8"/>
      <c r="S150" s="10"/>
      <c r="T150" s="10"/>
      <c r="U150" s="10"/>
      <c r="V150" s="10"/>
      <c r="W150" s="10"/>
      <c r="X150" s="10"/>
      <c r="Y150" s="10"/>
      <c r="Z150" s="10"/>
      <c r="AA150" s="10"/>
      <c r="AB150" s="10"/>
      <c r="AC150" s="8"/>
      <c r="AD150" s="8" t="s">
        <v>709</v>
      </c>
      <c r="AE150" s="8"/>
    </row>
    <row r="151" spans="1:31" ht="255">
      <c r="A151" s="4" t="s">
        <v>7</v>
      </c>
      <c r="B151" s="2" t="s">
        <v>185</v>
      </c>
      <c r="C151" s="23" t="s">
        <v>14</v>
      </c>
      <c r="D151" s="23" t="s">
        <v>14</v>
      </c>
      <c r="E151" s="8" t="s">
        <v>65</v>
      </c>
      <c r="F151" s="4">
        <v>0</v>
      </c>
      <c r="G151" s="4">
        <v>1</v>
      </c>
      <c r="H151" s="4">
        <v>0</v>
      </c>
      <c r="I151" s="4">
        <v>0</v>
      </c>
      <c r="J151" s="4" t="s">
        <v>344</v>
      </c>
      <c r="K151" s="8" t="s">
        <v>23</v>
      </c>
      <c r="L151" s="8">
        <v>0</v>
      </c>
      <c r="M151" s="8">
        <v>0</v>
      </c>
      <c r="N151" s="8" t="s">
        <v>65</v>
      </c>
      <c r="O151" s="8">
        <v>0</v>
      </c>
      <c r="P151" s="8">
        <v>553</v>
      </c>
      <c r="Q151" s="8" t="s">
        <v>362</v>
      </c>
      <c r="R151" s="8" t="s">
        <v>368</v>
      </c>
      <c r="S151" s="10" t="s">
        <v>65</v>
      </c>
      <c r="T151" s="10" t="s">
        <v>712</v>
      </c>
      <c r="U151" s="10" t="s">
        <v>393</v>
      </c>
      <c r="V151" s="10" t="s">
        <v>496</v>
      </c>
      <c r="W151" s="10" t="s">
        <v>713</v>
      </c>
      <c r="X151" s="10" t="s">
        <v>65</v>
      </c>
      <c r="Y151" s="10">
        <v>0</v>
      </c>
      <c r="Z151" s="10"/>
      <c r="AA151" s="10" t="s">
        <v>65</v>
      </c>
      <c r="AB151" s="10" t="s">
        <v>65</v>
      </c>
      <c r="AC151" s="8"/>
      <c r="AD151" s="28" t="s">
        <v>711</v>
      </c>
      <c r="AE151" s="8" t="s">
        <v>710</v>
      </c>
    </row>
    <row r="152" spans="1:31" ht="17">
      <c r="A152" s="4" t="s">
        <v>7</v>
      </c>
      <c r="B152" s="2" t="s">
        <v>186</v>
      </c>
      <c r="C152" s="25" t="s">
        <v>15</v>
      </c>
      <c r="D152" s="8"/>
      <c r="E152" s="8" t="s">
        <v>298</v>
      </c>
      <c r="F152" s="4"/>
      <c r="G152" s="4"/>
      <c r="H152" s="4"/>
      <c r="I152" s="4"/>
      <c r="J152" s="4"/>
      <c r="K152" s="8"/>
      <c r="L152" s="8"/>
      <c r="M152" s="8"/>
      <c r="N152" s="8"/>
      <c r="O152" s="8"/>
      <c r="P152" s="8"/>
      <c r="Q152" s="8"/>
      <c r="R152" s="8"/>
      <c r="S152" s="10"/>
      <c r="T152" s="10"/>
      <c r="U152" s="10"/>
      <c r="V152" s="10"/>
      <c r="W152" s="10"/>
      <c r="X152" s="10"/>
      <c r="Y152" s="10"/>
      <c r="Z152" s="10"/>
      <c r="AA152" s="10"/>
      <c r="AB152" s="10"/>
      <c r="AC152" s="8"/>
      <c r="AD152" s="8"/>
      <c r="AE152" s="8"/>
    </row>
    <row r="153" spans="1:31" ht="272">
      <c r="A153" s="4" t="s">
        <v>7</v>
      </c>
      <c r="B153" s="2" t="s">
        <v>187</v>
      </c>
      <c r="C153" s="23" t="s">
        <v>14</v>
      </c>
      <c r="D153" s="23" t="s">
        <v>14</v>
      </c>
      <c r="E153" s="8" t="s">
        <v>65</v>
      </c>
      <c r="F153" s="4">
        <v>0</v>
      </c>
      <c r="G153" s="4">
        <v>1</v>
      </c>
      <c r="H153" s="4">
        <v>0</v>
      </c>
      <c r="I153" s="4">
        <v>0</v>
      </c>
      <c r="J153" s="4" t="s">
        <v>344</v>
      </c>
      <c r="K153" s="8" t="s">
        <v>682</v>
      </c>
      <c r="L153" s="8">
        <v>0</v>
      </c>
      <c r="M153" s="8">
        <v>0</v>
      </c>
      <c r="N153" s="8" t="s">
        <v>65</v>
      </c>
      <c r="O153" s="8">
        <v>0</v>
      </c>
      <c r="P153" s="32">
        <v>21866</v>
      </c>
      <c r="Q153" s="8" t="s">
        <v>614</v>
      </c>
      <c r="R153" s="8" t="s">
        <v>368</v>
      </c>
      <c r="S153" s="10" t="s">
        <v>716</v>
      </c>
      <c r="T153" s="10" t="s">
        <v>1083</v>
      </c>
      <c r="U153" s="10" t="s">
        <v>717</v>
      </c>
      <c r="V153" s="10" t="s">
        <v>65</v>
      </c>
      <c r="W153" s="10" t="s">
        <v>718</v>
      </c>
      <c r="X153" s="10" t="s">
        <v>65</v>
      </c>
      <c r="Y153" s="10">
        <v>1</v>
      </c>
      <c r="Z153" s="10" t="s">
        <v>682</v>
      </c>
      <c r="AA153" s="10" t="s">
        <v>1035</v>
      </c>
      <c r="AB153" s="10" t="s">
        <v>719</v>
      </c>
      <c r="AC153" s="8"/>
      <c r="AD153" s="28" t="s">
        <v>715</v>
      </c>
      <c r="AE153" s="8" t="s">
        <v>714</v>
      </c>
    </row>
    <row r="154" spans="1:31" ht="17">
      <c r="A154" s="4" t="s">
        <v>7</v>
      </c>
      <c r="B154" s="2" t="s">
        <v>188</v>
      </c>
      <c r="C154" s="25" t="s">
        <v>15</v>
      </c>
      <c r="D154" s="8"/>
      <c r="E154" s="8" t="s">
        <v>18</v>
      </c>
      <c r="F154" s="4"/>
      <c r="G154" s="4"/>
      <c r="H154" s="4"/>
      <c r="I154" s="4"/>
      <c r="J154" s="4"/>
      <c r="K154" s="8"/>
      <c r="L154" s="8"/>
      <c r="M154" s="8"/>
      <c r="N154" s="8"/>
      <c r="O154" s="8"/>
      <c r="P154" s="8"/>
      <c r="Q154" s="8"/>
      <c r="R154" s="8"/>
      <c r="S154" s="10"/>
      <c r="T154" s="10"/>
      <c r="U154" s="10"/>
      <c r="V154" s="10"/>
      <c r="W154" s="10"/>
      <c r="X154" s="10"/>
      <c r="Y154" s="10"/>
      <c r="Z154" s="10"/>
      <c r="AA154" s="10"/>
      <c r="AB154" s="10"/>
      <c r="AC154" s="8"/>
      <c r="AD154" s="8"/>
      <c r="AE154" s="8"/>
    </row>
    <row r="155" spans="1:31" ht="255">
      <c r="A155" s="4" t="s">
        <v>7</v>
      </c>
      <c r="B155" s="2" t="s">
        <v>104</v>
      </c>
      <c r="C155" s="23" t="s">
        <v>14</v>
      </c>
      <c r="D155" s="23" t="s">
        <v>14</v>
      </c>
      <c r="E155" s="8" t="s">
        <v>65</v>
      </c>
      <c r="F155" s="4">
        <v>0</v>
      </c>
      <c r="G155" s="4">
        <v>1</v>
      </c>
      <c r="H155" s="4">
        <v>0</v>
      </c>
      <c r="I155" s="4">
        <v>0</v>
      </c>
      <c r="J155" s="4" t="s">
        <v>344</v>
      </c>
      <c r="K155" s="8" t="s">
        <v>23</v>
      </c>
      <c r="L155" s="8">
        <v>0</v>
      </c>
      <c r="M155" s="8">
        <v>0</v>
      </c>
      <c r="N155" s="8" t="s">
        <v>65</v>
      </c>
      <c r="O155" s="8">
        <v>0</v>
      </c>
      <c r="P155" s="8">
        <v>1273</v>
      </c>
      <c r="Q155" s="8" t="s">
        <v>356</v>
      </c>
      <c r="R155" s="8" t="s">
        <v>368</v>
      </c>
      <c r="S155" s="10" t="s">
        <v>723</v>
      </c>
      <c r="T155" s="10" t="s">
        <v>722</v>
      </c>
      <c r="U155" s="10" t="s">
        <v>393</v>
      </c>
      <c r="V155" s="10" t="s">
        <v>339</v>
      </c>
      <c r="W155" s="10" t="s">
        <v>390</v>
      </c>
      <c r="X155" s="10" t="s">
        <v>65</v>
      </c>
      <c r="Y155" s="10">
        <v>1</v>
      </c>
      <c r="Z155" s="10" t="s">
        <v>682</v>
      </c>
      <c r="AA155" s="10" t="s">
        <v>723</v>
      </c>
      <c r="AB155" s="10" t="s">
        <v>723</v>
      </c>
      <c r="AC155" s="8"/>
      <c r="AD155" s="28" t="s">
        <v>721</v>
      </c>
      <c r="AE155" s="8" t="s">
        <v>720</v>
      </c>
    </row>
    <row r="156" spans="1:31" ht="17">
      <c r="A156" s="4" t="s">
        <v>7</v>
      </c>
      <c r="B156" s="2" t="s">
        <v>134</v>
      </c>
      <c r="C156" s="25" t="s">
        <v>15</v>
      </c>
      <c r="D156" s="8"/>
      <c r="E156" s="8" t="s">
        <v>298</v>
      </c>
      <c r="F156" s="4"/>
      <c r="G156" s="4"/>
      <c r="H156" s="4"/>
      <c r="I156" s="4"/>
      <c r="J156" s="4"/>
      <c r="K156" s="8"/>
      <c r="L156" s="8"/>
      <c r="M156" s="8"/>
      <c r="N156" s="8"/>
      <c r="O156" s="8"/>
      <c r="P156" s="8"/>
      <c r="Q156" s="8"/>
      <c r="R156" s="8"/>
      <c r="S156" s="10"/>
      <c r="T156" s="10"/>
      <c r="U156" s="10"/>
      <c r="V156" s="10"/>
      <c r="W156" s="10"/>
      <c r="X156" s="10"/>
      <c r="Y156" s="10"/>
      <c r="Z156" s="10"/>
      <c r="AA156" s="10"/>
      <c r="AB156" s="10"/>
      <c r="AC156" s="8"/>
      <c r="AD156" s="8"/>
      <c r="AE156" s="8"/>
    </row>
    <row r="157" spans="1:31" ht="17">
      <c r="A157" s="4" t="s">
        <v>7</v>
      </c>
      <c r="B157" s="2" t="s">
        <v>189</v>
      </c>
      <c r="C157" s="25" t="s">
        <v>15</v>
      </c>
      <c r="D157" s="8"/>
      <c r="E157" s="8" t="s">
        <v>298</v>
      </c>
      <c r="F157" s="4"/>
      <c r="G157" s="4"/>
      <c r="H157" s="4"/>
      <c r="I157" s="4"/>
      <c r="J157" s="4"/>
      <c r="K157" s="8"/>
      <c r="L157" s="8"/>
      <c r="M157" s="8"/>
      <c r="N157" s="8"/>
      <c r="O157" s="8"/>
      <c r="P157" s="8"/>
      <c r="Q157" s="8"/>
      <c r="R157" s="8"/>
      <c r="S157" s="10"/>
      <c r="T157" s="11"/>
      <c r="U157" s="11"/>
      <c r="V157" s="10"/>
      <c r="W157" s="10"/>
      <c r="X157" s="10"/>
      <c r="Y157" s="10"/>
      <c r="Z157" s="10"/>
      <c r="AA157" s="10"/>
      <c r="AB157" s="10"/>
      <c r="AC157" s="8"/>
      <c r="AD157" s="16"/>
      <c r="AE157" s="17"/>
    </row>
    <row r="158" spans="1:31" ht="17">
      <c r="A158" s="4" t="s">
        <v>7</v>
      </c>
      <c r="B158" s="2" t="s">
        <v>190</v>
      </c>
      <c r="C158" s="25" t="s">
        <v>15</v>
      </c>
      <c r="D158" s="8"/>
      <c r="E158" s="8" t="s">
        <v>298</v>
      </c>
      <c r="F158" s="4"/>
      <c r="G158" s="4"/>
      <c r="H158" s="4"/>
      <c r="I158" s="4"/>
      <c r="J158" s="4"/>
      <c r="K158" s="8"/>
      <c r="L158" s="8"/>
      <c r="M158" s="8"/>
      <c r="N158" s="8"/>
      <c r="O158" s="8"/>
      <c r="P158" s="8"/>
      <c r="Q158" s="8"/>
      <c r="R158" s="8"/>
      <c r="S158" s="10"/>
      <c r="T158" s="11"/>
      <c r="U158" s="11"/>
      <c r="V158" s="10"/>
      <c r="W158" s="10"/>
      <c r="X158" s="10"/>
      <c r="Y158" s="10"/>
      <c r="Z158" s="10"/>
      <c r="AA158" s="10"/>
      <c r="AB158" s="10"/>
      <c r="AC158" s="8"/>
      <c r="AD158" s="16"/>
      <c r="AE158" s="17"/>
    </row>
    <row r="159" spans="1:31" ht="17">
      <c r="A159" s="4" t="s">
        <v>7</v>
      </c>
      <c r="B159" s="2" t="s">
        <v>191</v>
      </c>
      <c r="C159" s="25" t="s">
        <v>15</v>
      </c>
      <c r="D159" s="8"/>
      <c r="E159" s="8" t="s">
        <v>298</v>
      </c>
      <c r="F159" s="4"/>
      <c r="G159" s="4"/>
      <c r="H159" s="4"/>
      <c r="I159" s="4"/>
      <c r="J159" s="4"/>
      <c r="K159" s="8"/>
      <c r="L159" s="8"/>
      <c r="M159" s="8"/>
      <c r="N159" s="8"/>
      <c r="O159" s="8"/>
      <c r="P159" s="8"/>
      <c r="Q159" s="8"/>
      <c r="R159" s="8"/>
      <c r="S159" s="10"/>
      <c r="T159" s="11"/>
      <c r="U159" s="11"/>
      <c r="V159" s="10"/>
      <c r="W159" s="10"/>
      <c r="X159" s="10"/>
      <c r="Y159" s="10"/>
      <c r="Z159" s="10"/>
      <c r="AA159" s="10"/>
      <c r="AB159" s="10"/>
      <c r="AC159" s="8"/>
      <c r="AD159" s="8"/>
      <c r="AE159" s="8"/>
    </row>
    <row r="160" spans="1:31" ht="17">
      <c r="A160" s="4" t="s">
        <v>7</v>
      </c>
      <c r="B160" s="2" t="s">
        <v>192</v>
      </c>
      <c r="C160" s="8" t="s">
        <v>290</v>
      </c>
      <c r="D160" s="15"/>
      <c r="E160" s="8" t="s">
        <v>290</v>
      </c>
      <c r="F160" s="4"/>
      <c r="G160" s="4"/>
      <c r="H160" s="4"/>
      <c r="I160" s="4"/>
      <c r="J160" s="4"/>
      <c r="K160" s="8"/>
      <c r="L160" s="8"/>
      <c r="M160" s="8"/>
      <c r="N160" s="8"/>
      <c r="O160" s="8"/>
      <c r="P160" s="8"/>
      <c r="Q160" s="8"/>
      <c r="R160" s="8"/>
      <c r="S160" s="10"/>
      <c r="T160" s="10"/>
      <c r="U160" s="10"/>
      <c r="V160" s="10"/>
      <c r="W160" s="10"/>
      <c r="X160" s="10"/>
      <c r="Y160" s="10"/>
      <c r="Z160" s="10"/>
      <c r="AA160" s="10"/>
      <c r="AB160" s="10"/>
      <c r="AC160" s="8"/>
      <c r="AD160" s="8"/>
      <c r="AE160" s="8"/>
    </row>
    <row r="161" spans="1:31" ht="272">
      <c r="A161" s="4" t="s">
        <v>7</v>
      </c>
      <c r="B161" s="2" t="s">
        <v>193</v>
      </c>
      <c r="C161" s="23" t="s">
        <v>14</v>
      </c>
      <c r="D161" s="23" t="s">
        <v>14</v>
      </c>
      <c r="E161" s="8" t="s">
        <v>65</v>
      </c>
      <c r="F161" s="4">
        <v>0</v>
      </c>
      <c r="G161" s="4">
        <v>0</v>
      </c>
      <c r="H161" s="4">
        <v>1</v>
      </c>
      <c r="I161" s="4">
        <v>0</v>
      </c>
      <c r="J161" s="4" t="s">
        <v>662</v>
      </c>
      <c r="K161" s="8" t="s">
        <v>23</v>
      </c>
      <c r="L161" s="8">
        <v>0</v>
      </c>
      <c r="M161" s="8">
        <v>1</v>
      </c>
      <c r="N161" s="8" t="s">
        <v>65</v>
      </c>
      <c r="O161" s="8">
        <v>0</v>
      </c>
      <c r="P161" s="8">
        <v>1000</v>
      </c>
      <c r="Q161" s="8" t="s">
        <v>726</v>
      </c>
      <c r="R161" s="8" t="s">
        <v>1016</v>
      </c>
      <c r="S161" s="10" t="s">
        <v>727</v>
      </c>
      <c r="T161" s="10" t="s">
        <v>728</v>
      </c>
      <c r="U161" s="10" t="s">
        <v>65</v>
      </c>
      <c r="V161" s="10" t="s">
        <v>65</v>
      </c>
      <c r="W161" s="10" t="s">
        <v>65</v>
      </c>
      <c r="X161" s="10" t="s">
        <v>65</v>
      </c>
      <c r="Y161" s="10">
        <v>0</v>
      </c>
      <c r="Z161" s="10"/>
      <c r="AA161" s="10" t="s">
        <v>65</v>
      </c>
      <c r="AB161" s="10" t="s">
        <v>65</v>
      </c>
      <c r="AC161" s="8"/>
      <c r="AD161" s="8" t="s">
        <v>725</v>
      </c>
      <c r="AE161" s="8" t="s">
        <v>724</v>
      </c>
    </row>
    <row r="162" spans="1:31" ht="323">
      <c r="A162" s="4" t="s">
        <v>7</v>
      </c>
      <c r="B162" s="2" t="s">
        <v>194</v>
      </c>
      <c r="C162" s="27" t="s">
        <v>14</v>
      </c>
      <c r="D162" s="27" t="s">
        <v>14</v>
      </c>
      <c r="E162" s="24" t="s">
        <v>65</v>
      </c>
      <c r="F162" s="11">
        <v>0</v>
      </c>
      <c r="G162" s="11">
        <v>1</v>
      </c>
      <c r="H162" s="11">
        <v>0</v>
      </c>
      <c r="I162" s="11">
        <v>0</v>
      </c>
      <c r="J162" s="11" t="s">
        <v>344</v>
      </c>
      <c r="K162" s="24" t="s">
        <v>682</v>
      </c>
      <c r="L162" s="24">
        <v>0</v>
      </c>
      <c r="M162" s="8">
        <v>1</v>
      </c>
      <c r="N162" s="8" t="s">
        <v>65</v>
      </c>
      <c r="O162" s="8">
        <v>0</v>
      </c>
      <c r="P162" s="8">
        <v>3578</v>
      </c>
      <c r="Q162" s="8" t="s">
        <v>458</v>
      </c>
      <c r="R162" s="8" t="s">
        <v>368</v>
      </c>
      <c r="S162" s="10" t="s">
        <v>65</v>
      </c>
      <c r="T162" s="10" t="s">
        <v>1082</v>
      </c>
      <c r="U162" s="10" t="s">
        <v>361</v>
      </c>
      <c r="V162" s="10" t="s">
        <v>732</v>
      </c>
      <c r="W162" s="10" t="s">
        <v>731</v>
      </c>
      <c r="X162" s="10" t="s">
        <v>65</v>
      </c>
      <c r="Y162" s="10">
        <v>1</v>
      </c>
      <c r="Z162" s="10" t="s">
        <v>682</v>
      </c>
      <c r="AA162" s="10" t="s">
        <v>1052</v>
      </c>
      <c r="AB162" s="10" t="s">
        <v>684</v>
      </c>
      <c r="AC162" s="8"/>
      <c r="AD162" s="28" t="s">
        <v>730</v>
      </c>
      <c r="AE162" s="8" t="s">
        <v>729</v>
      </c>
    </row>
    <row r="163" spans="1:31" ht="238">
      <c r="A163" s="4" t="s">
        <v>7</v>
      </c>
      <c r="B163" s="2" t="s">
        <v>195</v>
      </c>
      <c r="C163" s="27" t="s">
        <v>14</v>
      </c>
      <c r="D163" s="27" t="s">
        <v>14</v>
      </c>
      <c r="E163" s="8" t="s">
        <v>65</v>
      </c>
      <c r="F163" s="4">
        <v>0</v>
      </c>
      <c r="G163" s="4">
        <v>0</v>
      </c>
      <c r="H163" s="4">
        <v>1</v>
      </c>
      <c r="I163" s="4">
        <v>0</v>
      </c>
      <c r="J163" s="4" t="s">
        <v>344</v>
      </c>
      <c r="K163" s="8" t="s">
        <v>23</v>
      </c>
      <c r="L163" s="8">
        <v>0</v>
      </c>
      <c r="M163" s="8">
        <v>0</v>
      </c>
      <c r="N163" s="8" t="s">
        <v>65</v>
      </c>
      <c r="O163" s="8">
        <v>0</v>
      </c>
      <c r="P163" s="8">
        <v>834</v>
      </c>
      <c r="Q163" s="8" t="s">
        <v>739</v>
      </c>
      <c r="R163" s="8" t="s">
        <v>735</v>
      </c>
      <c r="S163" s="10" t="s">
        <v>738</v>
      </c>
      <c r="T163" s="10" t="s">
        <v>736</v>
      </c>
      <c r="U163" s="10" t="s">
        <v>393</v>
      </c>
      <c r="V163" s="10" t="s">
        <v>339</v>
      </c>
      <c r="W163" s="10" t="s">
        <v>737</v>
      </c>
      <c r="X163" s="10" t="s">
        <v>65</v>
      </c>
      <c r="Y163" s="10">
        <v>0</v>
      </c>
      <c r="Z163" s="10"/>
      <c r="AA163" s="10" t="s">
        <v>65</v>
      </c>
      <c r="AB163" s="10" t="s">
        <v>65</v>
      </c>
      <c r="AC163" s="8"/>
      <c r="AD163" s="8" t="s">
        <v>734</v>
      </c>
      <c r="AE163" s="8" t="s">
        <v>733</v>
      </c>
    </row>
    <row r="164" spans="1:31" ht="17">
      <c r="A164" s="4" t="s">
        <v>7</v>
      </c>
      <c r="B164" s="2" t="s">
        <v>196</v>
      </c>
      <c r="C164" s="25" t="s">
        <v>15</v>
      </c>
      <c r="D164" s="8"/>
      <c r="E164" s="8" t="s">
        <v>298</v>
      </c>
      <c r="F164" s="4"/>
      <c r="G164" s="4"/>
      <c r="H164" s="4"/>
      <c r="I164" s="4"/>
      <c r="J164" s="4"/>
      <c r="K164" s="8"/>
      <c r="L164" s="8"/>
      <c r="M164" s="8"/>
      <c r="N164" s="8"/>
      <c r="O164" s="8"/>
      <c r="P164" s="8"/>
      <c r="Q164" s="8"/>
      <c r="R164" s="8"/>
      <c r="S164" s="10"/>
      <c r="T164" s="10"/>
      <c r="U164" s="10"/>
      <c r="V164" s="10"/>
      <c r="W164" s="10"/>
      <c r="X164" s="10"/>
      <c r="Y164" s="10"/>
      <c r="Z164" s="10"/>
      <c r="AA164" s="10"/>
      <c r="AB164" s="10"/>
      <c r="AC164" s="8"/>
      <c r="AD164" s="8"/>
      <c r="AE164" s="8"/>
    </row>
    <row r="165" spans="1:31" ht="255">
      <c r="A165" s="4" t="s">
        <v>7</v>
      </c>
      <c r="B165" s="2" t="s">
        <v>197</v>
      </c>
      <c r="C165" s="27" t="s">
        <v>14</v>
      </c>
      <c r="D165" s="27" t="s">
        <v>14</v>
      </c>
      <c r="E165" s="8" t="s">
        <v>65</v>
      </c>
      <c r="F165" s="4">
        <v>0</v>
      </c>
      <c r="G165" s="4">
        <v>1</v>
      </c>
      <c r="H165" s="4">
        <v>0</v>
      </c>
      <c r="I165" s="4">
        <v>0</v>
      </c>
      <c r="J165" s="4" t="s">
        <v>344</v>
      </c>
      <c r="K165" s="8" t="s">
        <v>23</v>
      </c>
      <c r="L165" s="8">
        <v>0</v>
      </c>
      <c r="M165" s="8">
        <v>0</v>
      </c>
      <c r="N165" s="8" t="s">
        <v>65</v>
      </c>
      <c r="O165" s="8">
        <v>0</v>
      </c>
      <c r="P165" s="8">
        <v>2325</v>
      </c>
      <c r="Q165" s="8" t="s">
        <v>1026</v>
      </c>
      <c r="R165" s="8" t="s">
        <v>742</v>
      </c>
      <c r="S165" s="4" t="s">
        <v>350</v>
      </c>
      <c r="T165" s="10" t="s">
        <v>393</v>
      </c>
      <c r="U165" s="4" t="s">
        <v>402</v>
      </c>
      <c r="V165" s="4" t="s">
        <v>65</v>
      </c>
      <c r="W165" s="4" t="s">
        <v>439</v>
      </c>
      <c r="X165" s="4" t="s">
        <v>65</v>
      </c>
      <c r="Y165" s="4">
        <v>1</v>
      </c>
      <c r="Z165" s="4" t="s">
        <v>682</v>
      </c>
      <c r="AA165" s="4" t="s">
        <v>723</v>
      </c>
      <c r="AB165" s="4" t="s">
        <v>723</v>
      </c>
      <c r="AC165" s="8"/>
      <c r="AD165" s="28" t="s">
        <v>741</v>
      </c>
      <c r="AE165" s="8" t="s">
        <v>740</v>
      </c>
    </row>
    <row r="166" spans="1:31" ht="17">
      <c r="A166" s="4" t="s">
        <v>7</v>
      </c>
      <c r="B166" s="2" t="s">
        <v>198</v>
      </c>
      <c r="C166" s="25" t="s">
        <v>15</v>
      </c>
      <c r="D166" s="8"/>
      <c r="E166" s="8" t="s">
        <v>298</v>
      </c>
      <c r="F166" s="4"/>
      <c r="G166" s="4"/>
      <c r="H166" s="4"/>
      <c r="I166" s="4"/>
      <c r="J166" s="4"/>
      <c r="K166" s="8"/>
      <c r="L166" s="8"/>
      <c r="M166" s="8"/>
      <c r="N166" s="8"/>
      <c r="O166" s="8"/>
      <c r="P166" s="8"/>
      <c r="Q166" s="8"/>
      <c r="R166" s="8"/>
      <c r="S166" s="4"/>
      <c r="T166" s="4"/>
      <c r="U166" s="4"/>
      <c r="V166" s="4"/>
      <c r="W166" s="4"/>
      <c r="X166" s="4"/>
      <c r="Y166" s="4"/>
      <c r="Z166" s="4"/>
      <c r="AA166" s="4"/>
      <c r="AB166" s="4"/>
      <c r="AC166" s="8"/>
      <c r="AD166" s="8"/>
      <c r="AE166" s="8"/>
    </row>
    <row r="167" spans="1:31" ht="17">
      <c r="A167" s="4" t="s">
        <v>7</v>
      </c>
      <c r="B167" s="2" t="s">
        <v>199</v>
      </c>
      <c r="C167" s="25" t="s">
        <v>15</v>
      </c>
      <c r="D167" s="8"/>
      <c r="E167" s="8" t="s">
        <v>298</v>
      </c>
      <c r="F167" s="4"/>
      <c r="G167" s="4"/>
      <c r="H167" s="4"/>
      <c r="I167" s="4"/>
      <c r="J167" s="4"/>
      <c r="K167" s="8"/>
      <c r="L167" s="8"/>
      <c r="M167" s="8"/>
      <c r="N167" s="8"/>
      <c r="O167" s="8"/>
      <c r="P167" s="8"/>
      <c r="Q167" s="8"/>
      <c r="R167" s="8"/>
      <c r="S167" s="4"/>
      <c r="T167" s="4"/>
      <c r="U167" s="4"/>
      <c r="V167" s="4"/>
      <c r="W167" s="4"/>
      <c r="X167" s="4"/>
      <c r="Y167" s="4"/>
      <c r="Z167" s="4"/>
      <c r="AA167" s="4"/>
      <c r="AB167" s="4"/>
      <c r="AC167" s="8"/>
      <c r="AD167" s="8"/>
      <c r="AE167" s="8"/>
    </row>
    <row r="168" spans="1:31" ht="17">
      <c r="A168" s="4" t="s">
        <v>7</v>
      </c>
      <c r="B168" s="2" t="s">
        <v>200</v>
      </c>
      <c r="C168" s="25" t="s">
        <v>15</v>
      </c>
      <c r="D168" s="8"/>
      <c r="E168" s="8" t="s">
        <v>298</v>
      </c>
      <c r="F168" s="4"/>
      <c r="G168" s="4"/>
      <c r="H168" s="4"/>
      <c r="I168" s="4"/>
      <c r="J168" s="4"/>
      <c r="K168" s="8"/>
      <c r="L168" s="8"/>
      <c r="M168" s="8"/>
      <c r="N168" s="8"/>
      <c r="O168" s="8"/>
      <c r="P168" s="8"/>
      <c r="Q168" s="8"/>
      <c r="R168" s="8"/>
      <c r="S168" s="4"/>
      <c r="T168" s="4"/>
      <c r="U168" s="4"/>
      <c r="V168" s="4"/>
      <c r="W168" s="4"/>
      <c r="X168" s="4"/>
      <c r="Y168" s="4"/>
      <c r="Z168" s="4"/>
      <c r="AA168" s="4"/>
      <c r="AB168" s="4"/>
      <c r="AC168" s="8"/>
      <c r="AD168" s="8"/>
      <c r="AE168" s="8"/>
    </row>
    <row r="169" spans="1:31" ht="17">
      <c r="A169" s="4" t="s">
        <v>7</v>
      </c>
      <c r="B169" s="2" t="s">
        <v>201</v>
      </c>
      <c r="C169" s="25" t="s">
        <v>15</v>
      </c>
      <c r="D169" s="8"/>
      <c r="E169" s="8" t="s">
        <v>298</v>
      </c>
      <c r="F169" s="4"/>
      <c r="G169" s="4"/>
      <c r="H169" s="4"/>
      <c r="I169" s="4"/>
      <c r="J169" s="4"/>
      <c r="K169" s="8"/>
      <c r="L169" s="8"/>
      <c r="M169" s="8"/>
      <c r="N169" s="8"/>
      <c r="O169" s="8"/>
      <c r="P169" s="8"/>
      <c r="Q169" s="8"/>
      <c r="R169" s="8"/>
      <c r="S169" s="4"/>
      <c r="T169" s="4"/>
      <c r="U169" s="4"/>
      <c r="V169" s="4"/>
      <c r="W169" s="4"/>
      <c r="X169" s="4"/>
      <c r="Y169" s="4"/>
      <c r="Z169" s="4"/>
      <c r="AA169" s="4"/>
      <c r="AB169" s="4"/>
      <c r="AC169" s="8"/>
      <c r="AD169" s="8"/>
      <c r="AE169" s="8"/>
    </row>
    <row r="170" spans="1:31" ht="17">
      <c r="A170" s="4" t="s">
        <v>7</v>
      </c>
      <c r="B170" s="2" t="s">
        <v>202</v>
      </c>
      <c r="C170" s="25" t="s">
        <v>15</v>
      </c>
      <c r="D170" s="8"/>
      <c r="E170" s="8" t="s">
        <v>18</v>
      </c>
      <c r="F170" s="4"/>
      <c r="G170" s="4"/>
      <c r="H170" s="4"/>
      <c r="I170" s="4"/>
      <c r="J170" s="4"/>
      <c r="K170" s="8"/>
      <c r="L170" s="8"/>
      <c r="M170" s="8"/>
      <c r="N170" s="8"/>
      <c r="O170" s="8"/>
      <c r="P170" s="8"/>
      <c r="Q170" s="8"/>
      <c r="R170" s="8"/>
      <c r="S170" s="4"/>
      <c r="T170" s="4"/>
      <c r="U170" s="4"/>
      <c r="V170" s="4"/>
      <c r="W170" s="4"/>
      <c r="X170" s="4"/>
      <c r="Y170" s="4"/>
      <c r="Z170" s="4"/>
      <c r="AA170" s="4"/>
      <c r="AB170" s="4"/>
      <c r="AC170" s="8"/>
      <c r="AD170" s="8"/>
      <c r="AE170" s="8"/>
    </row>
    <row r="171" spans="1:31" ht="255">
      <c r="A171" s="4" t="s">
        <v>7</v>
      </c>
      <c r="B171" s="2" t="s">
        <v>203</v>
      </c>
      <c r="C171" s="27" t="s">
        <v>14</v>
      </c>
      <c r="D171" s="27" t="s">
        <v>14</v>
      </c>
      <c r="E171" s="8" t="s">
        <v>65</v>
      </c>
      <c r="F171" s="4">
        <v>0</v>
      </c>
      <c r="G171" s="4">
        <v>1</v>
      </c>
      <c r="H171" s="4">
        <v>0</v>
      </c>
      <c r="I171" s="4">
        <v>0</v>
      </c>
      <c r="J171" s="4" t="s">
        <v>344</v>
      </c>
      <c r="K171" s="8" t="s">
        <v>23</v>
      </c>
      <c r="L171" s="8">
        <v>0</v>
      </c>
      <c r="M171" s="8">
        <v>0</v>
      </c>
      <c r="N171" s="8" t="s">
        <v>65</v>
      </c>
      <c r="O171" s="8">
        <v>0</v>
      </c>
      <c r="P171" s="8">
        <v>5202</v>
      </c>
      <c r="Q171" s="8" t="s">
        <v>551</v>
      </c>
      <c r="R171" s="8" t="s">
        <v>368</v>
      </c>
      <c r="S171" s="4" t="s">
        <v>746</v>
      </c>
      <c r="T171" s="4" t="s">
        <v>393</v>
      </c>
      <c r="U171" s="4" t="s">
        <v>361</v>
      </c>
      <c r="V171" s="4" t="s">
        <v>745</v>
      </c>
      <c r="W171" s="4" t="s">
        <v>747</v>
      </c>
      <c r="X171" s="4" t="s">
        <v>65</v>
      </c>
      <c r="Y171" s="4">
        <v>0</v>
      </c>
      <c r="Z171" s="4"/>
      <c r="AA171" s="4" t="s">
        <v>65</v>
      </c>
      <c r="AB171" s="4" t="s">
        <v>65</v>
      </c>
      <c r="AC171" s="8"/>
      <c r="AD171" s="8" t="s">
        <v>744</v>
      </c>
      <c r="AE171" s="8" t="s">
        <v>743</v>
      </c>
    </row>
    <row r="172" spans="1:31" ht="272">
      <c r="A172" s="4" t="s">
        <v>7</v>
      </c>
      <c r="B172" s="2" t="s">
        <v>1071</v>
      </c>
      <c r="C172" s="27" t="s">
        <v>14</v>
      </c>
      <c r="D172" s="27" t="s">
        <v>14</v>
      </c>
      <c r="E172" s="8" t="s">
        <v>65</v>
      </c>
      <c r="F172" s="4">
        <v>0</v>
      </c>
      <c r="G172" s="4">
        <v>0</v>
      </c>
      <c r="H172" s="4">
        <v>1</v>
      </c>
      <c r="I172" s="4">
        <v>0</v>
      </c>
      <c r="J172" s="4" t="s">
        <v>344</v>
      </c>
      <c r="K172" s="8" t="s">
        <v>23</v>
      </c>
      <c r="L172" s="8">
        <v>0</v>
      </c>
      <c r="M172" s="8">
        <v>0</v>
      </c>
      <c r="N172" s="8" t="s">
        <v>65</v>
      </c>
      <c r="O172" s="8">
        <v>0</v>
      </c>
      <c r="P172" s="8">
        <v>2271</v>
      </c>
      <c r="Q172" s="8" t="s">
        <v>835</v>
      </c>
      <c r="R172" s="8" t="s">
        <v>833</v>
      </c>
      <c r="S172" s="4" t="s">
        <v>834</v>
      </c>
      <c r="T172" s="4" t="s">
        <v>402</v>
      </c>
      <c r="U172" s="4" t="s">
        <v>361</v>
      </c>
      <c r="V172" s="4" t="s">
        <v>65</v>
      </c>
      <c r="W172" s="4" t="s">
        <v>836</v>
      </c>
      <c r="X172" s="4" t="s">
        <v>65</v>
      </c>
      <c r="Y172" s="4">
        <v>1</v>
      </c>
      <c r="Z172" s="4"/>
      <c r="AA172" s="4" t="s">
        <v>1035</v>
      </c>
      <c r="AB172" s="4" t="s">
        <v>1033</v>
      </c>
      <c r="AC172" s="8">
        <v>1</v>
      </c>
      <c r="AD172" s="28" t="s">
        <v>749</v>
      </c>
      <c r="AE172" s="8" t="s">
        <v>748</v>
      </c>
    </row>
    <row r="173" spans="1:31" ht="289">
      <c r="A173" s="4" t="s">
        <v>7</v>
      </c>
      <c r="B173" s="2" t="s">
        <v>204</v>
      </c>
      <c r="C173" s="27" t="s">
        <v>14</v>
      </c>
      <c r="D173" s="27" t="s">
        <v>14</v>
      </c>
      <c r="E173" s="8" t="s">
        <v>65</v>
      </c>
      <c r="F173" s="4">
        <v>0</v>
      </c>
      <c r="G173" s="4">
        <v>1</v>
      </c>
      <c r="H173" s="4">
        <v>0</v>
      </c>
      <c r="I173" s="4">
        <v>0</v>
      </c>
      <c r="J173" s="4" t="s">
        <v>344</v>
      </c>
      <c r="K173" s="8" t="s">
        <v>23</v>
      </c>
      <c r="L173" s="8">
        <v>0</v>
      </c>
      <c r="M173" s="8">
        <v>1</v>
      </c>
      <c r="N173" s="8" t="s">
        <v>65</v>
      </c>
      <c r="O173" s="8">
        <v>0</v>
      </c>
      <c r="P173" s="8">
        <v>7672</v>
      </c>
      <c r="Q173" s="8" t="s">
        <v>838</v>
      </c>
      <c r="R173" s="8" t="s">
        <v>368</v>
      </c>
      <c r="S173" s="4" t="s">
        <v>839</v>
      </c>
      <c r="T173" s="4" t="s">
        <v>1044</v>
      </c>
      <c r="U173" s="4" t="s">
        <v>402</v>
      </c>
      <c r="V173" s="4" t="s">
        <v>339</v>
      </c>
      <c r="W173" s="4" t="s">
        <v>837</v>
      </c>
      <c r="X173" s="4" t="s">
        <v>65</v>
      </c>
      <c r="Y173" s="4">
        <v>1</v>
      </c>
      <c r="Z173" s="4" t="s">
        <v>682</v>
      </c>
      <c r="AA173" s="4" t="s">
        <v>723</v>
      </c>
      <c r="AB173" s="4" t="s">
        <v>723</v>
      </c>
      <c r="AC173" s="8"/>
      <c r="AD173" s="28" t="s">
        <v>751</v>
      </c>
      <c r="AE173" s="8" t="s">
        <v>750</v>
      </c>
    </row>
    <row r="174" spans="1:31" ht="409.6">
      <c r="A174" s="4" t="s">
        <v>7</v>
      </c>
      <c r="B174" s="2" t="s">
        <v>1051</v>
      </c>
      <c r="C174" s="27" t="s">
        <v>14</v>
      </c>
      <c r="D174" s="27" t="s">
        <v>14</v>
      </c>
      <c r="E174" s="8" t="s">
        <v>65</v>
      </c>
      <c r="F174" s="4">
        <v>0</v>
      </c>
      <c r="G174" s="4">
        <v>1</v>
      </c>
      <c r="H174" s="4">
        <v>0</v>
      </c>
      <c r="I174" s="4">
        <v>0</v>
      </c>
      <c r="J174" s="4" t="s">
        <v>344</v>
      </c>
      <c r="K174" s="8" t="s">
        <v>23</v>
      </c>
      <c r="L174" s="8">
        <v>1</v>
      </c>
      <c r="M174" s="8">
        <v>1</v>
      </c>
      <c r="N174" s="8" t="s">
        <v>840</v>
      </c>
      <c r="O174" s="8" t="s">
        <v>65</v>
      </c>
      <c r="P174" s="32">
        <v>35281</v>
      </c>
      <c r="Q174" s="8" t="s">
        <v>841</v>
      </c>
      <c r="R174" s="8" t="s">
        <v>368</v>
      </c>
      <c r="S174" s="4" t="s">
        <v>842</v>
      </c>
      <c r="T174" s="4" t="s">
        <v>393</v>
      </c>
      <c r="U174" s="4" t="s">
        <v>361</v>
      </c>
      <c r="V174" s="4" t="s">
        <v>339</v>
      </c>
      <c r="W174" s="4" t="s">
        <v>843</v>
      </c>
      <c r="X174" s="4" t="s">
        <v>65</v>
      </c>
      <c r="Y174" s="4">
        <v>1</v>
      </c>
      <c r="Z174" s="4" t="s">
        <v>682</v>
      </c>
      <c r="AA174" s="4" t="s">
        <v>448</v>
      </c>
      <c r="AB174" s="4" t="s">
        <v>448</v>
      </c>
      <c r="AC174" s="8"/>
      <c r="AD174" s="28" t="s">
        <v>752</v>
      </c>
      <c r="AE174" s="8" t="s">
        <v>753</v>
      </c>
    </row>
    <row r="175" spans="1:31" ht="289">
      <c r="A175" s="4" t="s">
        <v>10</v>
      </c>
      <c r="B175" s="2" t="s">
        <v>205</v>
      </c>
      <c r="C175" s="27" t="s">
        <v>14</v>
      </c>
      <c r="D175" s="27" t="s">
        <v>14</v>
      </c>
      <c r="E175" s="8" t="s">
        <v>65</v>
      </c>
      <c r="F175" s="4">
        <v>0</v>
      </c>
      <c r="G175" s="4">
        <v>0</v>
      </c>
      <c r="H175" s="4">
        <v>1</v>
      </c>
      <c r="I175" s="4">
        <v>0</v>
      </c>
      <c r="J175" s="4" t="s">
        <v>344</v>
      </c>
      <c r="K175" s="8" t="s">
        <v>553</v>
      </c>
      <c r="L175" s="8">
        <v>0</v>
      </c>
      <c r="M175" s="8">
        <v>0</v>
      </c>
      <c r="N175" s="8" t="s">
        <v>65</v>
      </c>
      <c r="O175" s="8" t="s">
        <v>65</v>
      </c>
      <c r="P175" s="8">
        <v>110</v>
      </c>
      <c r="Q175" s="8" t="s">
        <v>835</v>
      </c>
      <c r="R175" s="8" t="s">
        <v>844</v>
      </c>
      <c r="S175" s="4" t="s">
        <v>65</v>
      </c>
      <c r="T175" s="4" t="s">
        <v>894</v>
      </c>
      <c r="U175" s="4" t="s">
        <v>361</v>
      </c>
      <c r="V175" s="4" t="s">
        <v>65</v>
      </c>
      <c r="W175" s="4" t="s">
        <v>845</v>
      </c>
      <c r="X175" s="4" t="s">
        <v>65</v>
      </c>
      <c r="Y175" s="4">
        <v>0</v>
      </c>
      <c r="Z175" s="4"/>
      <c r="AA175" s="4" t="s">
        <v>65</v>
      </c>
      <c r="AB175" s="4" t="s">
        <v>65</v>
      </c>
      <c r="AC175" s="8"/>
      <c r="AD175" s="28" t="s">
        <v>754</v>
      </c>
      <c r="AE175" s="8" t="s">
        <v>755</v>
      </c>
    </row>
    <row r="176" spans="1:31" ht="404">
      <c r="A176" s="4" t="s">
        <v>7</v>
      </c>
      <c r="B176" s="2" t="s">
        <v>206</v>
      </c>
      <c r="C176" s="27" t="s">
        <v>14</v>
      </c>
      <c r="D176" s="27" t="s">
        <v>14</v>
      </c>
      <c r="E176" s="8" t="s">
        <v>65</v>
      </c>
      <c r="F176" s="4">
        <v>0</v>
      </c>
      <c r="G176" s="4">
        <v>1</v>
      </c>
      <c r="H176" s="4">
        <v>1</v>
      </c>
      <c r="I176" s="4">
        <v>0</v>
      </c>
      <c r="J176" s="4" t="s">
        <v>344</v>
      </c>
      <c r="K176" s="8" t="s">
        <v>23</v>
      </c>
      <c r="L176" s="8">
        <v>1</v>
      </c>
      <c r="M176" s="8">
        <v>1</v>
      </c>
      <c r="N176" s="8" t="s">
        <v>846</v>
      </c>
      <c r="O176" s="8">
        <v>0</v>
      </c>
      <c r="P176" s="8">
        <v>1027</v>
      </c>
      <c r="Q176" s="8" t="s">
        <v>847</v>
      </c>
      <c r="R176" s="8" t="s">
        <v>848</v>
      </c>
      <c r="S176" s="4" t="s">
        <v>65</v>
      </c>
      <c r="T176" s="4" t="s">
        <v>393</v>
      </c>
      <c r="U176" s="4" t="s">
        <v>361</v>
      </c>
      <c r="V176" s="4" t="s">
        <v>496</v>
      </c>
      <c r="W176" s="4" t="s">
        <v>849</v>
      </c>
      <c r="X176" s="4" t="s">
        <v>65</v>
      </c>
      <c r="Y176" s="4">
        <v>1</v>
      </c>
      <c r="Z176" s="4" t="s">
        <v>682</v>
      </c>
      <c r="AA176" s="4" t="s">
        <v>723</v>
      </c>
      <c r="AB176" s="4" t="s">
        <v>723</v>
      </c>
      <c r="AC176" s="8"/>
      <c r="AD176" s="28" t="s">
        <v>757</v>
      </c>
      <c r="AE176" s="8" t="s">
        <v>756</v>
      </c>
    </row>
    <row r="177" spans="1:31" ht="17">
      <c r="A177" s="4" t="s">
        <v>7</v>
      </c>
      <c r="B177" s="2" t="s">
        <v>207</v>
      </c>
      <c r="C177" s="25" t="s">
        <v>15</v>
      </c>
      <c r="D177" s="27"/>
      <c r="E177" s="8" t="s">
        <v>294</v>
      </c>
      <c r="F177" s="4"/>
      <c r="G177" s="4"/>
      <c r="H177" s="4"/>
      <c r="I177" s="4"/>
      <c r="J177" s="4"/>
      <c r="K177" s="8"/>
      <c r="L177" s="8"/>
      <c r="M177" s="8"/>
      <c r="N177" s="8"/>
      <c r="O177" s="8"/>
      <c r="P177" s="8"/>
      <c r="Q177" s="8"/>
      <c r="R177" s="8"/>
      <c r="S177" s="4"/>
      <c r="T177" s="4"/>
      <c r="U177" s="4"/>
      <c r="V177" s="4"/>
      <c r="W177" s="4"/>
      <c r="X177" s="4"/>
      <c r="Y177" s="4"/>
      <c r="Z177" s="4"/>
      <c r="AA177" s="4"/>
      <c r="AB177" s="4"/>
      <c r="AC177" s="8"/>
      <c r="AD177" s="28"/>
      <c r="AE177" s="8"/>
    </row>
    <row r="178" spans="1:31" ht="17">
      <c r="A178" s="4" t="s">
        <v>7</v>
      </c>
      <c r="B178" s="2" t="s">
        <v>292</v>
      </c>
      <c r="C178" s="8" t="s">
        <v>290</v>
      </c>
      <c r="D178" s="15"/>
      <c r="E178" s="8" t="s">
        <v>290</v>
      </c>
      <c r="F178" s="4"/>
      <c r="G178" s="4"/>
      <c r="H178" s="4"/>
      <c r="I178" s="4"/>
      <c r="J178" s="4"/>
      <c r="K178" s="8"/>
      <c r="L178" s="8"/>
      <c r="M178" s="8"/>
      <c r="N178" s="8"/>
      <c r="O178" s="8"/>
      <c r="P178" s="8"/>
      <c r="Q178" s="8"/>
      <c r="R178" s="8"/>
      <c r="S178" s="4"/>
      <c r="T178" s="4"/>
      <c r="U178" s="4"/>
      <c r="V178" s="4"/>
      <c r="W178" s="4"/>
      <c r="X178" s="4"/>
      <c r="Y178" s="4"/>
      <c r="Z178" s="4"/>
      <c r="AA178" s="4"/>
      <c r="AB178" s="4"/>
      <c r="AC178" s="8"/>
      <c r="AD178" s="8"/>
      <c r="AE178" s="8"/>
    </row>
    <row r="179" spans="1:31" ht="255">
      <c r="A179" s="4" t="s">
        <v>7</v>
      </c>
      <c r="B179" s="2" t="s">
        <v>208</v>
      </c>
      <c r="C179" s="27" t="s">
        <v>14</v>
      </c>
      <c r="D179" s="27" t="s">
        <v>14</v>
      </c>
      <c r="E179" s="8" t="s">
        <v>65</v>
      </c>
      <c r="F179" s="4">
        <v>0</v>
      </c>
      <c r="G179" s="4">
        <v>1</v>
      </c>
      <c r="H179" s="4">
        <v>1</v>
      </c>
      <c r="I179" s="4">
        <v>0</v>
      </c>
      <c r="J179" s="4" t="s">
        <v>344</v>
      </c>
      <c r="K179" s="8" t="s">
        <v>553</v>
      </c>
      <c r="L179" s="8">
        <v>0</v>
      </c>
      <c r="M179" s="8">
        <v>1</v>
      </c>
      <c r="N179" s="8" t="s">
        <v>65</v>
      </c>
      <c r="O179" s="8">
        <v>0</v>
      </c>
      <c r="P179" s="8">
        <v>3599</v>
      </c>
      <c r="Q179" s="8" t="s">
        <v>850</v>
      </c>
      <c r="R179" s="8" t="s">
        <v>992</v>
      </c>
      <c r="S179" s="4" t="s">
        <v>65</v>
      </c>
      <c r="T179" s="4" t="s">
        <v>991</v>
      </c>
      <c r="U179" s="4" t="s">
        <v>361</v>
      </c>
      <c r="V179" s="4" t="s">
        <v>65</v>
      </c>
      <c r="W179" s="4" t="s">
        <v>993</v>
      </c>
      <c r="X179" s="4" t="s">
        <v>65</v>
      </c>
      <c r="Y179" s="4">
        <v>0</v>
      </c>
      <c r="Z179" s="4"/>
      <c r="AA179" s="4" t="s">
        <v>65</v>
      </c>
      <c r="AB179" s="4" t="s">
        <v>65</v>
      </c>
      <c r="AC179" s="8"/>
      <c r="AD179" s="28" t="s">
        <v>759</v>
      </c>
      <c r="AE179" s="8" t="s">
        <v>758</v>
      </c>
    </row>
    <row r="180" spans="1:31" ht="17">
      <c r="A180" s="4" t="s">
        <v>7</v>
      </c>
      <c r="B180" s="2" t="s">
        <v>209</v>
      </c>
      <c r="C180" s="25" t="s">
        <v>15</v>
      </c>
      <c r="D180" s="27"/>
      <c r="E180" s="8" t="s">
        <v>25</v>
      </c>
      <c r="F180" s="4"/>
      <c r="G180" s="4"/>
      <c r="H180" s="4"/>
      <c r="I180" s="4"/>
      <c r="J180" s="4"/>
      <c r="K180" s="8"/>
      <c r="L180" s="8"/>
      <c r="M180" s="8"/>
      <c r="N180" s="8"/>
      <c r="O180" s="8"/>
      <c r="P180" s="8"/>
      <c r="Q180" s="8"/>
      <c r="R180" s="8"/>
      <c r="S180" s="4"/>
      <c r="T180" s="4"/>
      <c r="U180" s="4"/>
      <c r="V180" s="4"/>
      <c r="W180" s="4"/>
      <c r="X180" s="4"/>
      <c r="Y180" s="4"/>
      <c r="Z180" s="4"/>
      <c r="AA180" s="4"/>
      <c r="AB180" s="4"/>
      <c r="AC180" s="8"/>
      <c r="AD180" s="28"/>
      <c r="AE180" s="8"/>
    </row>
    <row r="181" spans="1:31" ht="238">
      <c r="A181" s="4" t="s">
        <v>7</v>
      </c>
      <c r="B181" s="2" t="s">
        <v>210</v>
      </c>
      <c r="C181" s="27" t="s">
        <v>14</v>
      </c>
      <c r="D181" s="27" t="s">
        <v>14</v>
      </c>
      <c r="E181" s="8" t="s">
        <v>65</v>
      </c>
      <c r="F181" s="4">
        <v>0</v>
      </c>
      <c r="G181" s="4">
        <v>1</v>
      </c>
      <c r="H181" s="4">
        <v>0</v>
      </c>
      <c r="I181" s="4">
        <v>0</v>
      </c>
      <c r="J181" s="4" t="s">
        <v>344</v>
      </c>
      <c r="K181" s="8" t="s">
        <v>23</v>
      </c>
      <c r="L181" s="8">
        <v>0</v>
      </c>
      <c r="M181" s="8">
        <v>0</v>
      </c>
      <c r="N181" s="8" t="s">
        <v>65</v>
      </c>
      <c r="O181" s="8">
        <v>1</v>
      </c>
      <c r="P181" s="8">
        <v>8631</v>
      </c>
      <c r="Q181" s="8" t="s">
        <v>543</v>
      </c>
      <c r="R181" s="8" t="s">
        <v>368</v>
      </c>
      <c r="S181" s="4" t="s">
        <v>1001</v>
      </c>
      <c r="T181" s="4" t="s">
        <v>447</v>
      </c>
      <c r="U181" s="4" t="s">
        <v>851</v>
      </c>
      <c r="V181" s="4" t="s">
        <v>65</v>
      </c>
      <c r="W181" s="4" t="s">
        <v>1002</v>
      </c>
      <c r="X181" s="4" t="s">
        <v>65</v>
      </c>
      <c r="Y181" s="4">
        <v>1</v>
      </c>
      <c r="Z181" s="4" t="s">
        <v>682</v>
      </c>
      <c r="AA181" s="4" t="s">
        <v>723</v>
      </c>
      <c r="AB181" s="4" t="s">
        <v>723</v>
      </c>
      <c r="AC181" s="8"/>
      <c r="AD181" s="28" t="s">
        <v>761</v>
      </c>
      <c r="AE181" s="8" t="s">
        <v>760</v>
      </c>
    </row>
    <row r="182" spans="1:31" ht="17">
      <c r="A182" s="4" t="s">
        <v>7</v>
      </c>
      <c r="B182" s="2" t="s">
        <v>20</v>
      </c>
      <c r="C182" s="25" t="s">
        <v>15</v>
      </c>
      <c r="D182" s="8"/>
      <c r="E182" s="8" t="s">
        <v>298</v>
      </c>
      <c r="F182" s="4"/>
      <c r="G182" s="4"/>
      <c r="H182" s="4"/>
      <c r="I182" s="4"/>
      <c r="J182" s="4"/>
      <c r="K182" s="8"/>
      <c r="L182" s="8"/>
      <c r="M182" s="8"/>
      <c r="N182" s="8"/>
      <c r="O182" s="8"/>
      <c r="P182" s="8"/>
      <c r="Q182" s="8"/>
      <c r="R182" s="8"/>
      <c r="S182" s="4"/>
      <c r="T182" s="4"/>
      <c r="U182" s="4"/>
      <c r="V182" s="4"/>
      <c r="W182" s="4"/>
      <c r="X182" s="4"/>
      <c r="Y182" s="4"/>
      <c r="Z182" s="4"/>
      <c r="AA182" s="4"/>
      <c r="AB182" s="4"/>
      <c r="AC182" s="8"/>
      <c r="AD182" s="8"/>
      <c r="AE182" s="8"/>
    </row>
    <row r="183" spans="1:31" ht="255">
      <c r="A183" s="4" t="s">
        <v>7</v>
      </c>
      <c r="B183" s="2" t="s">
        <v>211</v>
      </c>
      <c r="C183" s="23" t="s">
        <v>14</v>
      </c>
      <c r="D183" s="23" t="s">
        <v>14</v>
      </c>
      <c r="E183" s="8" t="s">
        <v>65</v>
      </c>
      <c r="F183" s="4">
        <v>1</v>
      </c>
      <c r="G183" s="4">
        <v>0</v>
      </c>
      <c r="H183" s="4">
        <v>0</v>
      </c>
      <c r="I183" s="4">
        <v>0</v>
      </c>
      <c r="J183" s="4" t="s">
        <v>405</v>
      </c>
      <c r="K183" s="8" t="s">
        <v>23</v>
      </c>
      <c r="L183" s="8">
        <v>1</v>
      </c>
      <c r="M183" s="8">
        <v>1</v>
      </c>
      <c r="N183" s="8" t="s">
        <v>380</v>
      </c>
      <c r="O183" s="8" t="s">
        <v>381</v>
      </c>
      <c r="P183" s="8">
        <v>198</v>
      </c>
      <c r="Q183" s="8" t="s">
        <v>382</v>
      </c>
      <c r="R183" s="8" t="s">
        <v>471</v>
      </c>
      <c r="S183" s="4" t="s">
        <v>909</v>
      </c>
      <c r="T183" s="4" t="s">
        <v>1003</v>
      </c>
      <c r="U183" s="4" t="s">
        <v>361</v>
      </c>
      <c r="V183" s="4" t="s">
        <v>65</v>
      </c>
      <c r="W183" s="4" t="s">
        <v>1008</v>
      </c>
      <c r="X183" s="4" t="s">
        <v>1009</v>
      </c>
      <c r="Y183" s="4">
        <v>0</v>
      </c>
      <c r="Z183" s="4"/>
      <c r="AA183" s="4" t="s">
        <v>65</v>
      </c>
      <c r="AB183" s="4" t="s">
        <v>65</v>
      </c>
      <c r="AC183" s="28"/>
      <c r="AD183" s="28" t="s">
        <v>379</v>
      </c>
      <c r="AE183" s="8" t="s">
        <v>378</v>
      </c>
    </row>
    <row r="184" spans="1:31" ht="17">
      <c r="A184" s="4" t="s">
        <v>7</v>
      </c>
      <c r="B184" s="2" t="s">
        <v>212</v>
      </c>
      <c r="C184" s="25" t="s">
        <v>15</v>
      </c>
      <c r="D184" s="8"/>
      <c r="E184" s="8" t="s">
        <v>298</v>
      </c>
      <c r="F184" s="4"/>
      <c r="G184" s="4"/>
      <c r="H184" s="4"/>
      <c r="I184" s="4"/>
      <c r="J184" s="4"/>
      <c r="K184" s="8"/>
      <c r="L184" s="8"/>
      <c r="M184" s="8"/>
      <c r="N184" s="8"/>
      <c r="O184" s="8"/>
      <c r="P184" s="8"/>
      <c r="Q184" s="8"/>
      <c r="R184" s="8"/>
      <c r="S184" s="4"/>
      <c r="T184" s="4"/>
      <c r="U184" s="4"/>
      <c r="V184" s="4"/>
      <c r="W184" s="4"/>
      <c r="X184" s="4"/>
      <c r="Y184" s="4"/>
      <c r="Z184" s="4"/>
      <c r="AA184" s="4"/>
      <c r="AB184" s="4"/>
      <c r="AC184" s="8"/>
      <c r="AD184" s="8"/>
      <c r="AE184" s="8"/>
    </row>
    <row r="185" spans="1:31" ht="272">
      <c r="A185" s="4" t="s">
        <v>7</v>
      </c>
      <c r="B185" s="2" t="s">
        <v>213</v>
      </c>
      <c r="C185" s="27" t="s">
        <v>14</v>
      </c>
      <c r="D185" s="27" t="s">
        <v>14</v>
      </c>
      <c r="E185" s="8" t="s">
        <v>65</v>
      </c>
      <c r="F185" s="4">
        <v>0</v>
      </c>
      <c r="G185" s="4">
        <v>0</v>
      </c>
      <c r="H185" s="4">
        <v>1</v>
      </c>
      <c r="I185" s="4">
        <v>0</v>
      </c>
      <c r="J185" s="4" t="s">
        <v>344</v>
      </c>
      <c r="K185" s="8" t="s">
        <v>23</v>
      </c>
      <c r="L185" s="8">
        <v>0</v>
      </c>
      <c r="M185" s="8">
        <v>0</v>
      </c>
      <c r="N185" s="8" t="s">
        <v>65</v>
      </c>
      <c r="O185" s="8">
        <v>0</v>
      </c>
      <c r="P185" s="8">
        <v>6892</v>
      </c>
      <c r="Q185" s="8" t="s">
        <v>835</v>
      </c>
      <c r="R185" s="8" t="s">
        <v>1005</v>
      </c>
      <c r="S185" s="4"/>
      <c r="T185" s="4" t="s">
        <v>1004</v>
      </c>
      <c r="U185" s="4" t="s">
        <v>1006</v>
      </c>
      <c r="V185" s="4" t="s">
        <v>65</v>
      </c>
      <c r="W185" s="4" t="s">
        <v>1007</v>
      </c>
      <c r="X185" s="4" t="s">
        <v>65</v>
      </c>
      <c r="Y185" s="4">
        <v>1</v>
      </c>
      <c r="Z185" s="4"/>
      <c r="AA185" s="4" t="s">
        <v>723</v>
      </c>
      <c r="AB185" s="4" t="s">
        <v>723</v>
      </c>
      <c r="AC185" s="8">
        <v>1</v>
      </c>
      <c r="AD185" s="28" t="s">
        <v>763</v>
      </c>
      <c r="AE185" s="8" t="s">
        <v>762</v>
      </c>
    </row>
    <row r="186" spans="1:31" ht="17">
      <c r="A186" s="4" t="s">
        <v>7</v>
      </c>
      <c r="B186" s="2" t="s">
        <v>214</v>
      </c>
      <c r="C186" s="25" t="s">
        <v>15</v>
      </c>
      <c r="D186" s="8"/>
      <c r="E186" s="8" t="s">
        <v>298</v>
      </c>
      <c r="F186" s="4"/>
      <c r="G186" s="4"/>
      <c r="H186" s="4"/>
      <c r="I186" s="4"/>
      <c r="J186" s="4"/>
      <c r="K186" s="8"/>
      <c r="L186" s="8"/>
      <c r="M186" s="8"/>
      <c r="N186" s="8"/>
      <c r="O186" s="8"/>
      <c r="P186" s="8"/>
      <c r="Q186" s="8"/>
      <c r="R186" s="8"/>
      <c r="S186" s="10"/>
      <c r="T186" s="4"/>
      <c r="U186" s="4"/>
      <c r="V186" s="10"/>
      <c r="W186" s="10"/>
      <c r="X186" s="10"/>
      <c r="Y186" s="10"/>
      <c r="Z186" s="10"/>
      <c r="AA186" s="10"/>
      <c r="AB186" s="10"/>
      <c r="AC186" s="8"/>
      <c r="AD186" s="8"/>
      <c r="AE186" s="8"/>
    </row>
    <row r="187" spans="1:31" ht="289">
      <c r="A187" s="4" t="s">
        <v>7</v>
      </c>
      <c r="B187" s="2" t="s">
        <v>215</v>
      </c>
      <c r="C187" s="27" t="s">
        <v>14</v>
      </c>
      <c r="D187" s="27" t="s">
        <v>14</v>
      </c>
      <c r="E187" s="8" t="s">
        <v>65</v>
      </c>
      <c r="F187" s="4">
        <v>0</v>
      </c>
      <c r="G187" s="4">
        <v>1</v>
      </c>
      <c r="H187" s="4">
        <v>0</v>
      </c>
      <c r="I187" s="4">
        <v>0</v>
      </c>
      <c r="J187" s="4" t="s">
        <v>344</v>
      </c>
      <c r="K187" s="8" t="s">
        <v>23</v>
      </c>
      <c r="L187" s="8">
        <v>0</v>
      </c>
      <c r="M187" s="8">
        <v>1</v>
      </c>
      <c r="N187" s="8" t="s">
        <v>65</v>
      </c>
      <c r="O187" s="8" t="s">
        <v>65</v>
      </c>
      <c r="P187" s="8">
        <v>42676</v>
      </c>
      <c r="Q187" s="8" t="s">
        <v>648</v>
      </c>
      <c r="R187" s="8" t="s">
        <v>368</v>
      </c>
      <c r="S187" s="10" t="s">
        <v>853</v>
      </c>
      <c r="T187" s="4" t="s">
        <v>852</v>
      </c>
      <c r="U187" s="4" t="s">
        <v>393</v>
      </c>
      <c r="V187" s="21" t="s">
        <v>496</v>
      </c>
      <c r="W187" s="4" t="s">
        <v>854</v>
      </c>
      <c r="X187" s="14" t="s">
        <v>65</v>
      </c>
      <c r="Y187" s="10">
        <v>0</v>
      </c>
      <c r="Z187" s="10"/>
      <c r="AA187" s="10" t="s">
        <v>65</v>
      </c>
      <c r="AB187" s="10" t="s">
        <v>65</v>
      </c>
      <c r="AC187" s="8"/>
      <c r="AD187" s="28" t="s">
        <v>765</v>
      </c>
      <c r="AE187" s="8" t="s">
        <v>764</v>
      </c>
    </row>
    <row r="188" spans="1:31" ht="17">
      <c r="A188" s="4" t="s">
        <v>7</v>
      </c>
      <c r="B188" s="2" t="s">
        <v>216</v>
      </c>
      <c r="C188" s="25" t="s">
        <v>15</v>
      </c>
      <c r="D188" s="8"/>
      <c r="E188" s="8" t="s">
        <v>298</v>
      </c>
      <c r="F188" s="4"/>
      <c r="G188" s="4"/>
      <c r="H188" s="4"/>
      <c r="I188" s="4"/>
      <c r="J188" s="4"/>
      <c r="K188" s="8"/>
      <c r="L188" s="8"/>
      <c r="M188" s="8"/>
      <c r="N188" s="8"/>
      <c r="O188" s="8"/>
      <c r="P188" s="8"/>
      <c r="Q188" s="8"/>
      <c r="R188" s="8"/>
      <c r="S188" s="10"/>
      <c r="T188" s="14"/>
      <c r="U188" s="10"/>
      <c r="V188" s="21"/>
      <c r="W188" s="10"/>
      <c r="X188" s="10"/>
      <c r="Y188" s="10"/>
      <c r="Z188" s="10"/>
      <c r="AA188" s="10"/>
      <c r="AB188" s="10"/>
      <c r="AC188" s="8"/>
      <c r="AD188" s="8"/>
      <c r="AE188" s="8"/>
    </row>
    <row r="189" spans="1:31" ht="255">
      <c r="A189" s="4" t="s">
        <v>10</v>
      </c>
      <c r="B189" s="2" t="s">
        <v>217</v>
      </c>
      <c r="C189" s="27" t="s">
        <v>14</v>
      </c>
      <c r="D189" s="27" t="s">
        <v>14</v>
      </c>
      <c r="E189" s="8" t="s">
        <v>65</v>
      </c>
      <c r="F189" s="4">
        <v>0</v>
      </c>
      <c r="G189" s="4">
        <v>1</v>
      </c>
      <c r="H189" s="4">
        <v>0</v>
      </c>
      <c r="I189" s="4">
        <v>0</v>
      </c>
      <c r="J189" s="4" t="s">
        <v>344</v>
      </c>
      <c r="K189" s="8" t="s">
        <v>23</v>
      </c>
      <c r="L189" s="8">
        <v>0</v>
      </c>
      <c r="M189" s="8">
        <v>1</v>
      </c>
      <c r="N189" s="8" t="s">
        <v>65</v>
      </c>
      <c r="O189" s="8" t="s">
        <v>65</v>
      </c>
      <c r="P189" s="8">
        <v>1552</v>
      </c>
      <c r="Q189" s="8" t="s">
        <v>362</v>
      </c>
      <c r="R189" s="8" t="s">
        <v>368</v>
      </c>
      <c r="S189" s="10" t="s">
        <v>341</v>
      </c>
      <c r="T189" s="10" t="s">
        <v>855</v>
      </c>
      <c r="U189" s="10" t="s">
        <v>402</v>
      </c>
      <c r="V189" s="10" t="s">
        <v>857</v>
      </c>
      <c r="W189" s="10" t="s">
        <v>856</v>
      </c>
      <c r="X189" s="10" t="s">
        <v>65</v>
      </c>
      <c r="Y189" s="10">
        <v>0</v>
      </c>
      <c r="Z189" s="10"/>
      <c r="AA189" s="10" t="s">
        <v>65</v>
      </c>
      <c r="AB189" s="10" t="s">
        <v>65</v>
      </c>
      <c r="AC189" s="8"/>
      <c r="AD189" s="28" t="s">
        <v>767</v>
      </c>
      <c r="AE189" s="8" t="s">
        <v>766</v>
      </c>
    </row>
    <row r="190" spans="1:31" ht="17">
      <c r="A190" s="4" t="s">
        <v>7</v>
      </c>
      <c r="B190" s="2" t="s">
        <v>218</v>
      </c>
      <c r="C190" s="25" t="s">
        <v>15</v>
      </c>
      <c r="D190" s="8"/>
      <c r="E190" s="8" t="s">
        <v>298</v>
      </c>
      <c r="F190" s="4"/>
      <c r="G190" s="4"/>
      <c r="H190" s="4"/>
      <c r="I190" s="4"/>
      <c r="J190" s="4"/>
      <c r="K190" s="8"/>
      <c r="L190" s="8"/>
      <c r="M190" s="8"/>
      <c r="N190" s="8"/>
      <c r="O190" s="8"/>
      <c r="P190" s="8"/>
      <c r="Q190" s="8"/>
      <c r="R190" s="8"/>
      <c r="S190" s="10"/>
      <c r="T190" s="10"/>
      <c r="U190" s="10"/>
      <c r="V190" s="10"/>
      <c r="W190" s="10"/>
      <c r="X190" s="10"/>
      <c r="Y190" s="10"/>
      <c r="Z190" s="10"/>
      <c r="AA190" s="10"/>
      <c r="AB190" s="10"/>
      <c r="AC190" s="8"/>
      <c r="AD190" s="8"/>
      <c r="AE190" s="8"/>
    </row>
    <row r="191" spans="1:31" ht="17">
      <c r="A191" s="4" t="s">
        <v>7</v>
      </c>
      <c r="B191" s="2" t="s">
        <v>219</v>
      </c>
      <c r="C191" s="25" t="s">
        <v>15</v>
      </c>
      <c r="D191" s="8"/>
      <c r="E191" s="8" t="s">
        <v>298</v>
      </c>
      <c r="F191" s="12"/>
      <c r="G191" s="12"/>
      <c r="H191" s="12"/>
      <c r="I191" s="12"/>
      <c r="J191" s="4"/>
      <c r="K191" s="8"/>
      <c r="L191" s="8"/>
      <c r="M191" s="8"/>
      <c r="N191" s="8"/>
      <c r="O191" s="8"/>
      <c r="P191" s="8"/>
      <c r="Q191" s="8"/>
      <c r="R191" s="8"/>
      <c r="S191" s="10"/>
      <c r="T191" s="10"/>
      <c r="U191" s="10"/>
      <c r="V191" s="10"/>
      <c r="W191" s="10"/>
      <c r="X191" s="10"/>
      <c r="Y191" s="10"/>
      <c r="Z191" s="10"/>
      <c r="AA191" s="10"/>
      <c r="AB191" s="10"/>
      <c r="AC191" s="8"/>
      <c r="AD191" s="8"/>
      <c r="AE191" s="8"/>
    </row>
    <row r="192" spans="1:31" ht="289">
      <c r="A192" s="4" t="s">
        <v>7</v>
      </c>
      <c r="B192" s="2" t="s">
        <v>220</v>
      </c>
      <c r="C192" s="27" t="s">
        <v>14</v>
      </c>
      <c r="D192" s="27" t="s">
        <v>14</v>
      </c>
      <c r="E192" s="8" t="s">
        <v>65</v>
      </c>
      <c r="F192" s="4">
        <v>0</v>
      </c>
      <c r="G192" s="4">
        <v>1</v>
      </c>
      <c r="H192" s="4">
        <v>1</v>
      </c>
      <c r="I192" s="4">
        <v>0</v>
      </c>
      <c r="J192" s="4" t="s">
        <v>534</v>
      </c>
      <c r="K192" s="8" t="s">
        <v>552</v>
      </c>
      <c r="L192" s="8">
        <v>0</v>
      </c>
      <c r="M192" s="8">
        <v>1</v>
      </c>
      <c r="N192" s="8" t="s">
        <v>65</v>
      </c>
      <c r="O192" s="8">
        <v>1</v>
      </c>
      <c r="P192" s="8">
        <v>50132</v>
      </c>
      <c r="Q192" s="8" t="s">
        <v>614</v>
      </c>
      <c r="R192" s="8" t="s">
        <v>368</v>
      </c>
      <c r="S192" s="10" t="s">
        <v>65</v>
      </c>
      <c r="T192" s="10" t="s">
        <v>1084</v>
      </c>
      <c r="U192" s="10" t="s">
        <v>860</v>
      </c>
      <c r="V192" s="10" t="s">
        <v>65</v>
      </c>
      <c r="W192" s="10" t="s">
        <v>858</v>
      </c>
      <c r="X192" s="10" t="s">
        <v>859</v>
      </c>
      <c r="Y192" s="10">
        <v>1</v>
      </c>
      <c r="Z192" s="10" t="s">
        <v>552</v>
      </c>
      <c r="AA192" s="10" t="s">
        <v>1035</v>
      </c>
      <c r="AB192" s="10" t="s">
        <v>1035</v>
      </c>
      <c r="AC192" s="8"/>
      <c r="AD192" s="28" t="s">
        <v>769</v>
      </c>
      <c r="AE192" s="8" t="s">
        <v>768</v>
      </c>
    </row>
    <row r="193" spans="1:31" ht="289">
      <c r="A193" s="4" t="s">
        <v>7</v>
      </c>
      <c r="B193" s="2" t="s">
        <v>221</v>
      </c>
      <c r="C193" s="27" t="s">
        <v>14</v>
      </c>
      <c r="D193" s="27" t="s">
        <v>14</v>
      </c>
      <c r="E193" s="8" t="s">
        <v>65</v>
      </c>
      <c r="F193" s="4">
        <v>0</v>
      </c>
      <c r="G193" s="4">
        <v>0</v>
      </c>
      <c r="H193" s="4">
        <v>1</v>
      </c>
      <c r="I193" s="4">
        <v>0</v>
      </c>
      <c r="J193" s="4" t="s">
        <v>704</v>
      </c>
      <c r="K193" s="8" t="s">
        <v>23</v>
      </c>
      <c r="L193" s="8">
        <v>0</v>
      </c>
      <c r="M193" s="8">
        <v>0</v>
      </c>
      <c r="N193" s="8" t="s">
        <v>65</v>
      </c>
      <c r="O193" s="8">
        <v>0</v>
      </c>
      <c r="P193" s="8">
        <v>303</v>
      </c>
      <c r="Q193" s="8" t="s">
        <v>862</v>
      </c>
      <c r="R193" s="8" t="s">
        <v>844</v>
      </c>
      <c r="S193" s="10" t="s">
        <v>863</v>
      </c>
      <c r="T193" s="10" t="s">
        <v>861</v>
      </c>
      <c r="U193" s="10" t="s">
        <v>864</v>
      </c>
      <c r="V193" s="10" t="s">
        <v>65</v>
      </c>
      <c r="W193" s="10" t="s">
        <v>865</v>
      </c>
      <c r="X193" s="10" t="s">
        <v>65</v>
      </c>
      <c r="Y193" s="10">
        <v>1</v>
      </c>
      <c r="Z193" s="10" t="s">
        <v>682</v>
      </c>
      <c r="AA193" s="10" t="s">
        <v>723</v>
      </c>
      <c r="AB193" s="10" t="s">
        <v>723</v>
      </c>
      <c r="AC193" s="8"/>
      <c r="AD193" s="28" t="s">
        <v>771</v>
      </c>
      <c r="AE193" s="8" t="s">
        <v>770</v>
      </c>
    </row>
    <row r="194" spans="1:31" ht="17">
      <c r="A194" s="4" t="s">
        <v>7</v>
      </c>
      <c r="B194" s="2" t="s">
        <v>293</v>
      </c>
      <c r="C194" s="25" t="s">
        <v>15</v>
      </c>
      <c r="D194" s="8"/>
      <c r="E194" s="8" t="s">
        <v>295</v>
      </c>
      <c r="F194" s="4"/>
      <c r="G194" s="4"/>
      <c r="H194" s="4"/>
      <c r="I194" s="4"/>
      <c r="J194" s="4"/>
      <c r="K194" s="8"/>
      <c r="L194" s="8"/>
      <c r="M194" s="8"/>
      <c r="N194" s="8"/>
      <c r="O194" s="8"/>
      <c r="P194" s="8"/>
      <c r="Q194" s="8"/>
      <c r="R194" s="8"/>
      <c r="S194" s="10"/>
      <c r="T194" s="10"/>
      <c r="U194" s="10"/>
      <c r="V194" s="10"/>
      <c r="W194" s="10"/>
      <c r="X194" s="10"/>
      <c r="Y194" s="10"/>
      <c r="Z194" s="10"/>
      <c r="AA194" s="10"/>
      <c r="AB194" s="10"/>
      <c r="AC194" s="8"/>
      <c r="AD194" s="8"/>
      <c r="AE194" s="8"/>
    </row>
    <row r="195" spans="1:31" ht="17">
      <c r="A195" s="4" t="s">
        <v>7</v>
      </c>
      <c r="B195" s="2" t="s">
        <v>105</v>
      </c>
      <c r="C195" s="8" t="s">
        <v>290</v>
      </c>
      <c r="D195" s="8"/>
      <c r="E195" s="13"/>
      <c r="F195" s="12"/>
      <c r="G195" s="12"/>
      <c r="H195" s="12"/>
      <c r="I195" s="12"/>
      <c r="J195" s="4"/>
      <c r="K195" s="8"/>
      <c r="L195" s="8"/>
      <c r="M195" s="8"/>
      <c r="N195" s="8"/>
      <c r="O195" s="8"/>
      <c r="P195" s="8"/>
      <c r="Q195" s="8"/>
      <c r="R195" s="8"/>
      <c r="S195" s="10"/>
      <c r="T195" s="10"/>
      <c r="U195" s="10"/>
      <c r="V195" s="10"/>
      <c r="W195" s="10"/>
      <c r="X195" s="10"/>
      <c r="Y195" s="10"/>
      <c r="Z195" s="10"/>
      <c r="AA195" s="10"/>
      <c r="AB195" s="10"/>
      <c r="AC195" s="8"/>
      <c r="AD195" s="8"/>
      <c r="AE195" s="8"/>
    </row>
    <row r="196" spans="1:31" ht="272">
      <c r="A196" s="4" t="s">
        <v>10</v>
      </c>
      <c r="B196" s="2" t="s">
        <v>226</v>
      </c>
      <c r="C196" s="27" t="s">
        <v>14</v>
      </c>
      <c r="D196" s="27" t="s">
        <v>14</v>
      </c>
      <c r="E196" s="8" t="s">
        <v>65</v>
      </c>
      <c r="F196" s="4">
        <v>0</v>
      </c>
      <c r="G196" s="4">
        <v>1</v>
      </c>
      <c r="H196" s="4">
        <v>0</v>
      </c>
      <c r="I196" s="4">
        <v>0</v>
      </c>
      <c r="J196" s="4" t="s">
        <v>344</v>
      </c>
      <c r="K196" s="8" t="s">
        <v>23</v>
      </c>
      <c r="L196" s="8">
        <v>1</v>
      </c>
      <c r="M196" s="8">
        <v>0</v>
      </c>
      <c r="N196" s="8" t="s">
        <v>366</v>
      </c>
      <c r="O196" s="8">
        <v>0</v>
      </c>
      <c r="P196" s="8">
        <v>1360</v>
      </c>
      <c r="Q196" s="8" t="s">
        <v>1024</v>
      </c>
      <c r="R196" s="8" t="s">
        <v>368</v>
      </c>
      <c r="S196" s="10" t="s">
        <v>65</v>
      </c>
      <c r="T196" s="10" t="s">
        <v>367</v>
      </c>
      <c r="U196" s="10" t="s">
        <v>367</v>
      </c>
      <c r="V196" s="10" t="s">
        <v>65</v>
      </c>
      <c r="W196" s="10" t="s">
        <v>1022</v>
      </c>
      <c r="X196" s="10"/>
      <c r="Y196" s="10">
        <v>1</v>
      </c>
      <c r="Z196" s="10" t="s">
        <v>682</v>
      </c>
      <c r="AA196" s="10" t="s">
        <v>723</v>
      </c>
      <c r="AB196" s="10" t="s">
        <v>723</v>
      </c>
      <c r="AC196" s="8"/>
      <c r="AD196" s="28" t="s">
        <v>392</v>
      </c>
      <c r="AE196" s="8" t="s">
        <v>365</v>
      </c>
    </row>
    <row r="197" spans="1:31" ht="255">
      <c r="A197" s="4" t="s">
        <v>7</v>
      </c>
      <c r="B197" s="2" t="s">
        <v>223</v>
      </c>
      <c r="C197" s="27" t="s">
        <v>14</v>
      </c>
      <c r="D197" s="27" t="s">
        <v>14</v>
      </c>
      <c r="E197" s="8" t="s">
        <v>65</v>
      </c>
      <c r="F197" s="4">
        <v>0</v>
      </c>
      <c r="G197" s="4">
        <v>1</v>
      </c>
      <c r="H197" s="4">
        <v>0</v>
      </c>
      <c r="I197" s="4">
        <v>0</v>
      </c>
      <c r="J197" s="4" t="s">
        <v>344</v>
      </c>
      <c r="K197" s="8" t="s">
        <v>23</v>
      </c>
      <c r="L197" s="8">
        <v>0</v>
      </c>
      <c r="M197" s="8">
        <v>0</v>
      </c>
      <c r="N197" s="8" t="s">
        <v>65</v>
      </c>
      <c r="O197" s="8">
        <v>0</v>
      </c>
      <c r="P197" s="8">
        <v>1312</v>
      </c>
      <c r="Q197" s="8" t="s">
        <v>362</v>
      </c>
      <c r="R197" s="8" t="s">
        <v>368</v>
      </c>
      <c r="S197" s="10" t="s">
        <v>868</v>
      </c>
      <c r="T197" s="10" t="s">
        <v>867</v>
      </c>
      <c r="U197" s="10" t="s">
        <v>512</v>
      </c>
      <c r="V197" s="10" t="s">
        <v>339</v>
      </c>
      <c r="W197" s="10" t="s">
        <v>866</v>
      </c>
      <c r="X197" s="10" t="s">
        <v>65</v>
      </c>
      <c r="Y197" s="10">
        <v>0</v>
      </c>
      <c r="Z197" s="10"/>
      <c r="AA197" s="10" t="s">
        <v>65</v>
      </c>
      <c r="AB197" s="10" t="s">
        <v>65</v>
      </c>
      <c r="AC197" s="8"/>
      <c r="AD197" s="28" t="s">
        <v>773</v>
      </c>
      <c r="AE197" s="8" t="s">
        <v>772</v>
      </c>
    </row>
    <row r="198" spans="1:31" ht="238">
      <c r="A198" s="4" t="s">
        <v>7</v>
      </c>
      <c r="B198" s="2" t="s">
        <v>224</v>
      </c>
      <c r="C198" s="27" t="s">
        <v>14</v>
      </c>
      <c r="D198" s="27" t="s">
        <v>14</v>
      </c>
      <c r="E198" s="8" t="s">
        <v>65</v>
      </c>
      <c r="F198" s="4">
        <v>1</v>
      </c>
      <c r="G198" s="4">
        <v>0</v>
      </c>
      <c r="H198" s="4">
        <v>0</v>
      </c>
      <c r="I198" s="4">
        <v>0</v>
      </c>
      <c r="J198" s="4" t="s">
        <v>405</v>
      </c>
      <c r="K198" s="8" t="s">
        <v>23</v>
      </c>
      <c r="L198" s="8">
        <v>1</v>
      </c>
      <c r="M198" s="8">
        <v>1</v>
      </c>
      <c r="N198" s="8" t="s">
        <v>869</v>
      </c>
      <c r="O198" s="8">
        <v>0</v>
      </c>
      <c r="P198" s="8">
        <v>51506</v>
      </c>
      <c r="Q198" s="8" t="s">
        <v>517</v>
      </c>
      <c r="R198" s="8" t="s">
        <v>420</v>
      </c>
      <c r="S198" s="10" t="s">
        <v>65</v>
      </c>
      <c r="T198" s="10" t="s">
        <v>870</v>
      </c>
      <c r="U198" s="10" t="s">
        <v>871</v>
      </c>
      <c r="V198" s="10" t="s">
        <v>65</v>
      </c>
      <c r="W198" s="10" t="s">
        <v>65</v>
      </c>
      <c r="X198" s="10" t="s">
        <v>65</v>
      </c>
      <c r="Y198" s="10">
        <v>0</v>
      </c>
      <c r="Z198" s="10"/>
      <c r="AA198" s="10" t="s">
        <v>65</v>
      </c>
      <c r="AB198" s="10" t="s">
        <v>65</v>
      </c>
      <c r="AC198" s="8"/>
      <c r="AD198" s="28" t="s">
        <v>775</v>
      </c>
      <c r="AE198" s="8" t="s">
        <v>774</v>
      </c>
    </row>
    <row r="199" spans="1:31" ht="238">
      <c r="A199" s="4" t="s">
        <v>7</v>
      </c>
      <c r="B199" s="2" t="s">
        <v>225</v>
      </c>
      <c r="C199" s="27" t="s">
        <v>14</v>
      </c>
      <c r="D199" s="27" t="s">
        <v>14</v>
      </c>
      <c r="E199" s="8" t="s">
        <v>65</v>
      </c>
      <c r="F199" s="4">
        <v>0</v>
      </c>
      <c r="G199" s="4">
        <v>1</v>
      </c>
      <c r="H199" s="4">
        <v>0</v>
      </c>
      <c r="I199" s="4">
        <v>0</v>
      </c>
      <c r="J199" s="4" t="s">
        <v>344</v>
      </c>
      <c r="K199" s="8" t="s">
        <v>23</v>
      </c>
      <c r="L199" s="8">
        <v>0</v>
      </c>
      <c r="M199" s="8">
        <v>0</v>
      </c>
      <c r="N199" s="8" t="s">
        <v>65</v>
      </c>
      <c r="O199" s="8">
        <v>0</v>
      </c>
      <c r="P199" s="8">
        <v>303</v>
      </c>
      <c r="Q199" s="8" t="s">
        <v>396</v>
      </c>
      <c r="R199" s="8" t="s">
        <v>994</v>
      </c>
      <c r="S199" s="10" t="s">
        <v>995</v>
      </c>
      <c r="T199" s="10" t="s">
        <v>1045</v>
      </c>
      <c r="U199" s="10" t="s">
        <v>644</v>
      </c>
      <c r="V199" s="10" t="s">
        <v>65</v>
      </c>
      <c r="W199" s="10" t="s">
        <v>996</v>
      </c>
      <c r="X199" s="10" t="s">
        <v>65</v>
      </c>
      <c r="Y199" s="10">
        <v>1</v>
      </c>
      <c r="Z199" s="10" t="s">
        <v>682</v>
      </c>
      <c r="AA199" s="10" t="s">
        <v>723</v>
      </c>
      <c r="AB199" s="10" t="s">
        <v>723</v>
      </c>
      <c r="AC199" s="8"/>
      <c r="AD199" s="28" t="s">
        <v>776</v>
      </c>
      <c r="AE199" s="8" t="s">
        <v>777</v>
      </c>
    </row>
    <row r="200" spans="1:31" ht="238">
      <c r="A200" s="4" t="s">
        <v>7</v>
      </c>
      <c r="B200" s="2" t="s">
        <v>119</v>
      </c>
      <c r="C200" s="27" t="s">
        <v>14</v>
      </c>
      <c r="D200" s="27" t="s">
        <v>14</v>
      </c>
      <c r="E200" s="8" t="s">
        <v>65</v>
      </c>
      <c r="F200" s="4">
        <v>1</v>
      </c>
      <c r="G200" s="4">
        <v>0</v>
      </c>
      <c r="H200" s="4">
        <v>0</v>
      </c>
      <c r="I200" s="4">
        <v>0</v>
      </c>
      <c r="J200" s="4" t="s">
        <v>405</v>
      </c>
      <c r="K200" s="8" t="s">
        <v>23</v>
      </c>
      <c r="L200" s="8">
        <v>0</v>
      </c>
      <c r="M200" s="8">
        <v>0</v>
      </c>
      <c r="N200" s="8" t="s">
        <v>65</v>
      </c>
      <c r="O200" s="8" t="s">
        <v>65</v>
      </c>
      <c r="P200" s="8">
        <v>68624</v>
      </c>
      <c r="Q200" s="8" t="s">
        <v>586</v>
      </c>
      <c r="R200" s="8" t="s">
        <v>872</v>
      </c>
      <c r="S200" s="10" t="s">
        <v>873</v>
      </c>
      <c r="T200" s="10" t="s">
        <v>873</v>
      </c>
      <c r="U200" s="10" t="s">
        <v>65</v>
      </c>
      <c r="V200" s="10" t="s">
        <v>65</v>
      </c>
      <c r="W200" s="10" t="s">
        <v>65</v>
      </c>
      <c r="X200" s="10" t="s">
        <v>65</v>
      </c>
      <c r="Y200" s="10">
        <v>0</v>
      </c>
      <c r="Z200" s="10"/>
      <c r="AA200" s="10" t="s">
        <v>65</v>
      </c>
      <c r="AB200" s="10" t="s">
        <v>65</v>
      </c>
      <c r="AC200" s="8"/>
      <c r="AD200" s="28" t="s">
        <v>778</v>
      </c>
      <c r="AE200" s="8" t="s">
        <v>1036</v>
      </c>
    </row>
    <row r="201" spans="1:31" ht="238">
      <c r="A201" s="4" t="s">
        <v>10</v>
      </c>
      <c r="B201" s="2" t="s">
        <v>227</v>
      </c>
      <c r="C201" s="27" t="s">
        <v>14</v>
      </c>
      <c r="D201" s="27" t="s">
        <v>14</v>
      </c>
      <c r="E201" s="8" t="s">
        <v>65</v>
      </c>
      <c r="F201" s="4">
        <v>0</v>
      </c>
      <c r="G201" s="4">
        <v>1</v>
      </c>
      <c r="H201" s="4">
        <v>0</v>
      </c>
      <c r="I201" s="4">
        <v>0</v>
      </c>
      <c r="J201" s="4" t="s">
        <v>344</v>
      </c>
      <c r="K201" s="8" t="s">
        <v>23</v>
      </c>
      <c r="L201" s="8">
        <v>1</v>
      </c>
      <c r="M201" s="8">
        <v>1</v>
      </c>
      <c r="N201" s="8" t="s">
        <v>874</v>
      </c>
      <c r="O201" s="8" t="s">
        <v>65</v>
      </c>
      <c r="P201" s="8">
        <v>137</v>
      </c>
      <c r="Q201" s="8" t="s">
        <v>875</v>
      </c>
      <c r="R201" s="8" t="s">
        <v>368</v>
      </c>
      <c r="S201" s="10" t="s">
        <v>877</v>
      </c>
      <c r="T201" s="10" t="s">
        <v>876</v>
      </c>
      <c r="U201" s="10" t="s">
        <v>629</v>
      </c>
      <c r="V201" s="10" t="s">
        <v>65</v>
      </c>
      <c r="W201" s="10" t="s">
        <v>878</v>
      </c>
      <c r="X201" s="10" t="s">
        <v>65</v>
      </c>
      <c r="Y201" s="10">
        <v>1</v>
      </c>
      <c r="Z201" s="10" t="s">
        <v>682</v>
      </c>
      <c r="AA201" s="10" t="s">
        <v>723</v>
      </c>
      <c r="AB201" s="10" t="s">
        <v>723</v>
      </c>
      <c r="AC201" s="8"/>
      <c r="AD201" s="28" t="s">
        <v>780</v>
      </c>
      <c r="AE201" s="8" t="s">
        <v>779</v>
      </c>
    </row>
    <row r="202" spans="1:31" ht="17">
      <c r="A202" s="4" t="s">
        <v>7</v>
      </c>
      <c r="B202" s="2" t="s">
        <v>228</v>
      </c>
      <c r="C202" s="27" t="s">
        <v>14</v>
      </c>
      <c r="D202" s="25" t="s">
        <v>15</v>
      </c>
      <c r="E202" s="8" t="s">
        <v>25</v>
      </c>
      <c r="F202" s="4"/>
      <c r="G202" s="4"/>
      <c r="H202" s="4"/>
      <c r="I202" s="4"/>
      <c r="J202" s="4"/>
      <c r="K202" s="8"/>
      <c r="L202" s="8"/>
      <c r="M202" s="8"/>
      <c r="N202" s="8"/>
      <c r="O202" s="8"/>
      <c r="P202" s="8"/>
      <c r="Q202" s="8"/>
      <c r="R202" s="8"/>
      <c r="S202" s="10"/>
      <c r="T202" s="10"/>
      <c r="U202" s="10"/>
      <c r="V202" s="10"/>
      <c r="W202" s="10"/>
      <c r="X202" s="10"/>
      <c r="Y202" s="10"/>
      <c r="Z202" s="10"/>
      <c r="AA202" s="10"/>
      <c r="AB202" s="10"/>
      <c r="AC202" s="8"/>
      <c r="AD202" s="28"/>
      <c r="AE202" s="8"/>
    </row>
    <row r="203" spans="1:31" ht="255">
      <c r="A203" s="4" t="s">
        <v>7</v>
      </c>
      <c r="B203" s="2" t="s">
        <v>229</v>
      </c>
      <c r="C203" s="27" t="s">
        <v>14</v>
      </c>
      <c r="D203" s="27" t="s">
        <v>14</v>
      </c>
      <c r="E203" s="8" t="s">
        <v>295</v>
      </c>
      <c r="F203" s="4">
        <v>0</v>
      </c>
      <c r="G203" s="4">
        <v>0</v>
      </c>
      <c r="H203" s="4">
        <v>1</v>
      </c>
      <c r="I203" s="4">
        <v>0</v>
      </c>
      <c r="J203" s="4" t="s">
        <v>344</v>
      </c>
      <c r="K203" s="8" t="s">
        <v>23</v>
      </c>
      <c r="L203" s="8">
        <v>0</v>
      </c>
      <c r="M203" s="8">
        <v>0</v>
      </c>
      <c r="N203" s="8" t="s">
        <v>65</v>
      </c>
      <c r="O203" s="8" t="s">
        <v>65</v>
      </c>
      <c r="P203" s="8">
        <v>1111</v>
      </c>
      <c r="Q203" s="8" t="s">
        <v>648</v>
      </c>
      <c r="R203" s="8" t="s">
        <v>844</v>
      </c>
      <c r="S203" s="10" t="s">
        <v>885</v>
      </c>
      <c r="T203" s="11" t="s">
        <v>886</v>
      </c>
      <c r="U203" s="11" t="s">
        <v>393</v>
      </c>
      <c r="V203" s="10" t="s">
        <v>887</v>
      </c>
      <c r="W203" s="10" t="s">
        <v>1066</v>
      </c>
      <c r="X203" s="10" t="s">
        <v>65</v>
      </c>
      <c r="Y203" s="10">
        <v>0</v>
      </c>
      <c r="Z203" s="10"/>
      <c r="AA203" s="10" t="s">
        <v>65</v>
      </c>
      <c r="AB203" s="10" t="s">
        <v>65</v>
      </c>
      <c r="AC203" s="8"/>
      <c r="AD203" s="28" t="s">
        <v>782</v>
      </c>
      <c r="AE203" s="17" t="s">
        <v>781</v>
      </c>
    </row>
    <row r="204" spans="1:31" ht="17">
      <c r="A204" s="4" t="s">
        <v>7</v>
      </c>
      <c r="B204" s="2" t="s">
        <v>230</v>
      </c>
      <c r="C204" s="27" t="s">
        <v>14</v>
      </c>
      <c r="D204" s="25" t="s">
        <v>15</v>
      </c>
      <c r="E204" s="8" t="s">
        <v>25</v>
      </c>
      <c r="F204" s="4"/>
      <c r="G204" s="4"/>
      <c r="H204" s="4"/>
      <c r="I204" s="4"/>
      <c r="J204" s="4"/>
      <c r="K204" s="8"/>
      <c r="L204" s="8"/>
      <c r="M204" s="8"/>
      <c r="N204" s="8"/>
      <c r="O204" s="8"/>
      <c r="P204" s="8"/>
      <c r="Q204" s="8"/>
      <c r="R204" s="8"/>
      <c r="S204" s="10"/>
      <c r="T204" s="11"/>
      <c r="U204" s="11"/>
      <c r="V204" s="10"/>
      <c r="W204" s="10"/>
      <c r="X204" s="10"/>
      <c r="Y204" s="10"/>
      <c r="Z204" s="10"/>
      <c r="AA204" s="10"/>
      <c r="AB204" s="10"/>
      <c r="AC204" s="8"/>
      <c r="AD204" s="28"/>
      <c r="AE204" s="17"/>
    </row>
    <row r="205" spans="1:31" ht="255">
      <c r="A205" s="4" t="s">
        <v>10</v>
      </c>
      <c r="B205" s="2" t="s">
        <v>231</v>
      </c>
      <c r="C205" s="27" t="s">
        <v>14</v>
      </c>
      <c r="D205" s="27" t="s">
        <v>14</v>
      </c>
      <c r="E205" s="8" t="s">
        <v>65</v>
      </c>
      <c r="F205" s="4">
        <v>0</v>
      </c>
      <c r="G205" s="4">
        <v>1</v>
      </c>
      <c r="H205" s="4">
        <v>0</v>
      </c>
      <c r="I205" s="4">
        <v>0</v>
      </c>
      <c r="J205" s="4" t="s">
        <v>344</v>
      </c>
      <c r="K205" s="8" t="s">
        <v>23</v>
      </c>
      <c r="L205" s="8">
        <v>1</v>
      </c>
      <c r="M205" s="8">
        <v>1</v>
      </c>
      <c r="N205" s="8" t="s">
        <v>888</v>
      </c>
      <c r="O205" s="8" t="s">
        <v>65</v>
      </c>
      <c r="P205" s="8">
        <v>37000</v>
      </c>
      <c r="Q205" s="8" t="s">
        <v>362</v>
      </c>
      <c r="R205" s="8" t="s">
        <v>368</v>
      </c>
      <c r="S205" s="10" t="s">
        <v>893</v>
      </c>
      <c r="T205" s="11" t="s">
        <v>891</v>
      </c>
      <c r="U205" s="11" t="s">
        <v>889</v>
      </c>
      <c r="V205" s="10" t="s">
        <v>65</v>
      </c>
      <c r="W205" s="10" t="s">
        <v>890</v>
      </c>
      <c r="X205" s="10" t="s">
        <v>65</v>
      </c>
      <c r="Y205" s="10">
        <v>0</v>
      </c>
      <c r="Z205" s="10"/>
      <c r="AA205" s="10" t="s">
        <v>65</v>
      </c>
      <c r="AB205" s="10" t="s">
        <v>65</v>
      </c>
      <c r="AC205" s="8"/>
      <c r="AD205" s="28" t="s">
        <v>784</v>
      </c>
      <c r="AE205" s="17" t="s">
        <v>783</v>
      </c>
    </row>
    <row r="206" spans="1:31" ht="306">
      <c r="A206" s="4" t="s">
        <v>10</v>
      </c>
      <c r="B206" s="2" t="s">
        <v>232</v>
      </c>
      <c r="C206" s="27" t="s">
        <v>14</v>
      </c>
      <c r="D206" s="27" t="s">
        <v>14</v>
      </c>
      <c r="E206" s="8" t="s">
        <v>65</v>
      </c>
      <c r="F206" s="4">
        <v>0</v>
      </c>
      <c r="G206" s="4">
        <v>0</v>
      </c>
      <c r="H206" s="4">
        <v>1</v>
      </c>
      <c r="I206" s="4">
        <v>1</v>
      </c>
      <c r="J206" s="4" t="s">
        <v>344</v>
      </c>
      <c r="K206" s="8" t="s">
        <v>553</v>
      </c>
      <c r="L206" s="8">
        <v>0</v>
      </c>
      <c r="M206" s="8">
        <v>0</v>
      </c>
      <c r="N206" s="8" t="s">
        <v>65</v>
      </c>
      <c r="O206" s="8" t="s">
        <v>65</v>
      </c>
      <c r="P206" s="8">
        <v>1850</v>
      </c>
      <c r="Q206" s="8" t="s">
        <v>835</v>
      </c>
      <c r="R206" s="8" t="s">
        <v>892</v>
      </c>
      <c r="S206" s="10" t="s">
        <v>65</v>
      </c>
      <c r="T206" s="10" t="s">
        <v>894</v>
      </c>
      <c r="U206" s="10" t="s">
        <v>361</v>
      </c>
      <c r="V206" s="10" t="s">
        <v>65</v>
      </c>
      <c r="W206" s="10" t="s">
        <v>895</v>
      </c>
      <c r="X206" s="10" t="s">
        <v>65</v>
      </c>
      <c r="Y206" s="10">
        <v>0</v>
      </c>
      <c r="Z206" s="10"/>
      <c r="AA206" s="10" t="s">
        <v>65</v>
      </c>
      <c r="AB206" s="10" t="s">
        <v>65</v>
      </c>
      <c r="AC206" s="8"/>
      <c r="AD206" s="28" t="s">
        <v>786</v>
      </c>
      <c r="AE206" s="8" t="s">
        <v>785</v>
      </c>
    </row>
    <row r="207" spans="1:31" ht="306">
      <c r="A207" s="4" t="s">
        <v>7</v>
      </c>
      <c r="B207" s="2" t="s">
        <v>233</v>
      </c>
      <c r="C207" s="27" t="s">
        <v>14</v>
      </c>
      <c r="D207" s="27" t="s">
        <v>14</v>
      </c>
      <c r="E207" s="8" t="s">
        <v>65</v>
      </c>
      <c r="F207" s="4">
        <v>0</v>
      </c>
      <c r="G207" s="4">
        <v>1</v>
      </c>
      <c r="H207" s="4">
        <v>0</v>
      </c>
      <c r="I207" s="4">
        <v>0</v>
      </c>
      <c r="J207" s="4" t="s">
        <v>344</v>
      </c>
      <c r="K207" s="8" t="s">
        <v>23</v>
      </c>
      <c r="L207" s="8">
        <v>0</v>
      </c>
      <c r="M207" s="8">
        <v>0</v>
      </c>
      <c r="N207" s="8" t="s">
        <v>65</v>
      </c>
      <c r="O207" s="8">
        <v>0</v>
      </c>
      <c r="P207" s="8">
        <v>925</v>
      </c>
      <c r="Q207" s="8" t="s">
        <v>362</v>
      </c>
      <c r="R207" s="8" t="s">
        <v>368</v>
      </c>
      <c r="S207" s="10" t="s">
        <v>897</v>
      </c>
      <c r="T207" s="10" t="s">
        <v>896</v>
      </c>
      <c r="U207" s="10" t="s">
        <v>898</v>
      </c>
      <c r="V207" s="10" t="s">
        <v>496</v>
      </c>
      <c r="W207" s="10" t="s">
        <v>899</v>
      </c>
      <c r="X207" s="10" t="s">
        <v>65</v>
      </c>
      <c r="Y207" s="10">
        <v>0</v>
      </c>
      <c r="Z207" s="10"/>
      <c r="AA207" s="10" t="s">
        <v>65</v>
      </c>
      <c r="AB207" s="10" t="s">
        <v>65</v>
      </c>
      <c r="AC207" s="8"/>
      <c r="AD207" s="28" t="s">
        <v>788</v>
      </c>
      <c r="AE207" s="8" t="s">
        <v>787</v>
      </c>
    </row>
    <row r="208" spans="1:31" ht="272">
      <c r="A208" s="4" t="s">
        <v>7</v>
      </c>
      <c r="B208" s="2" t="s">
        <v>234</v>
      </c>
      <c r="C208" s="27" t="s">
        <v>14</v>
      </c>
      <c r="D208" s="27" t="s">
        <v>14</v>
      </c>
      <c r="E208" s="8" t="s">
        <v>65</v>
      </c>
      <c r="F208" s="4">
        <v>0</v>
      </c>
      <c r="G208" s="4">
        <v>1</v>
      </c>
      <c r="H208" s="4">
        <v>0</v>
      </c>
      <c r="I208" s="4">
        <v>0</v>
      </c>
      <c r="J208" s="4" t="s">
        <v>344</v>
      </c>
      <c r="K208" s="8" t="s">
        <v>553</v>
      </c>
      <c r="L208" s="8">
        <v>0</v>
      </c>
      <c r="M208" s="8">
        <v>0</v>
      </c>
      <c r="N208" s="8" t="s">
        <v>65</v>
      </c>
      <c r="O208" s="8">
        <v>0</v>
      </c>
      <c r="P208" s="8">
        <v>532</v>
      </c>
      <c r="Q208" s="8" t="s">
        <v>835</v>
      </c>
      <c r="R208" s="8" t="s">
        <v>368</v>
      </c>
      <c r="S208" s="10" t="s">
        <v>65</v>
      </c>
      <c r="T208" s="10" t="s">
        <v>900</v>
      </c>
      <c r="U208" s="10" t="s">
        <v>65</v>
      </c>
      <c r="V208" s="10" t="s">
        <v>65</v>
      </c>
      <c r="W208" s="10" t="s">
        <v>65</v>
      </c>
      <c r="X208" s="10" t="s">
        <v>65</v>
      </c>
      <c r="Y208" s="10">
        <v>0</v>
      </c>
      <c r="Z208" s="10"/>
      <c r="AA208" s="10" t="s">
        <v>65</v>
      </c>
      <c r="AB208" s="10" t="s">
        <v>65</v>
      </c>
      <c r="AC208" s="8"/>
      <c r="AD208" s="28" t="s">
        <v>790</v>
      </c>
      <c r="AE208" s="8" t="s">
        <v>789</v>
      </c>
    </row>
    <row r="209" spans="1:31" ht="255">
      <c r="A209" s="4" t="s">
        <v>7</v>
      </c>
      <c r="B209" s="2" t="s">
        <v>235</v>
      </c>
      <c r="C209" s="27" t="s">
        <v>14</v>
      </c>
      <c r="D209" s="27" t="s">
        <v>14</v>
      </c>
      <c r="E209" s="8" t="s">
        <v>65</v>
      </c>
      <c r="F209" s="4">
        <v>0</v>
      </c>
      <c r="G209" s="4">
        <v>1</v>
      </c>
      <c r="H209" s="4">
        <v>0</v>
      </c>
      <c r="I209" s="4">
        <v>0</v>
      </c>
      <c r="J209" s="4" t="s">
        <v>344</v>
      </c>
      <c r="K209" s="8" t="s">
        <v>23</v>
      </c>
      <c r="L209" s="8">
        <v>0</v>
      </c>
      <c r="M209" s="8">
        <v>0</v>
      </c>
      <c r="N209" s="8" t="s">
        <v>65</v>
      </c>
      <c r="O209" s="8">
        <v>0</v>
      </c>
      <c r="P209" s="8">
        <v>16645</v>
      </c>
      <c r="Q209" s="8" t="s">
        <v>481</v>
      </c>
      <c r="R209" s="8" t="s">
        <v>368</v>
      </c>
      <c r="S209" s="10" t="s">
        <v>580</v>
      </c>
      <c r="T209" s="10" t="s">
        <v>901</v>
      </c>
      <c r="U209" s="10" t="s">
        <v>393</v>
      </c>
      <c r="V209" s="10" t="s">
        <v>65</v>
      </c>
      <c r="W209" s="10" t="s">
        <v>902</v>
      </c>
      <c r="X209" s="10" t="s">
        <v>65</v>
      </c>
      <c r="Y209" s="10">
        <v>1</v>
      </c>
      <c r="Z209" s="10"/>
      <c r="AA209" s="10" t="s">
        <v>723</v>
      </c>
      <c r="AB209" s="10" t="s">
        <v>723</v>
      </c>
      <c r="AC209" s="8">
        <v>1</v>
      </c>
      <c r="AD209" s="28" t="s">
        <v>792</v>
      </c>
      <c r="AE209" s="8" t="s">
        <v>791</v>
      </c>
    </row>
    <row r="210" spans="1:31" ht="272">
      <c r="A210" s="4" t="s">
        <v>7</v>
      </c>
      <c r="B210" s="2" t="s">
        <v>1058</v>
      </c>
      <c r="C210" s="27" t="s">
        <v>14</v>
      </c>
      <c r="D210" s="27" t="s">
        <v>14</v>
      </c>
      <c r="E210" s="8" t="s">
        <v>65</v>
      </c>
      <c r="F210" s="4">
        <v>1</v>
      </c>
      <c r="G210" s="4">
        <v>0</v>
      </c>
      <c r="H210" s="4">
        <v>0</v>
      </c>
      <c r="I210" s="4">
        <v>0</v>
      </c>
      <c r="J210" s="4" t="s">
        <v>344</v>
      </c>
      <c r="K210" s="8" t="s">
        <v>23</v>
      </c>
      <c r="L210" s="8">
        <v>1</v>
      </c>
      <c r="M210" s="8">
        <v>1</v>
      </c>
      <c r="N210" s="8" t="s">
        <v>503</v>
      </c>
      <c r="O210" s="8" t="s">
        <v>65</v>
      </c>
      <c r="P210" s="8">
        <v>160226</v>
      </c>
      <c r="Q210" s="8" t="s">
        <v>903</v>
      </c>
      <c r="R210" s="8" t="s">
        <v>368</v>
      </c>
      <c r="S210" s="10" t="s">
        <v>539</v>
      </c>
      <c r="T210" s="10" t="s">
        <v>393</v>
      </c>
      <c r="U210" s="10" t="s">
        <v>361</v>
      </c>
      <c r="V210" s="10" t="s">
        <v>904</v>
      </c>
      <c r="W210" s="10" t="s">
        <v>905</v>
      </c>
      <c r="X210" s="10" t="s">
        <v>65</v>
      </c>
      <c r="Y210" s="10">
        <v>0</v>
      </c>
      <c r="Z210" s="10"/>
      <c r="AA210" s="10" t="s">
        <v>65</v>
      </c>
      <c r="AB210" s="10" t="s">
        <v>65</v>
      </c>
      <c r="AC210" s="8"/>
      <c r="AD210" s="28" t="s">
        <v>794</v>
      </c>
      <c r="AE210" s="8" t="s">
        <v>793</v>
      </c>
    </row>
    <row r="211" spans="1:31" ht="17">
      <c r="A211" s="4" t="s">
        <v>7</v>
      </c>
      <c r="B211" s="2" t="s">
        <v>236</v>
      </c>
      <c r="C211" s="8" t="s">
        <v>290</v>
      </c>
      <c r="D211" s="15"/>
      <c r="E211" s="8" t="s">
        <v>290</v>
      </c>
      <c r="F211" s="4"/>
      <c r="G211" s="4"/>
      <c r="H211" s="4"/>
      <c r="I211" s="4"/>
      <c r="J211" s="4"/>
      <c r="K211" s="8"/>
      <c r="L211" s="8"/>
      <c r="M211" s="8"/>
      <c r="N211" s="8"/>
      <c r="O211" s="8"/>
      <c r="P211" s="8"/>
      <c r="Q211" s="8"/>
      <c r="R211" s="8"/>
      <c r="S211" s="4"/>
      <c r="T211" s="4"/>
      <c r="U211" s="4"/>
      <c r="V211" s="4"/>
      <c r="W211" s="4"/>
      <c r="X211" s="4"/>
      <c r="Y211" s="4"/>
      <c r="Z211" s="4"/>
      <c r="AA211" s="4"/>
      <c r="AB211" s="4"/>
      <c r="AC211" s="8"/>
      <c r="AD211" s="8"/>
      <c r="AE211" s="8"/>
    </row>
    <row r="212" spans="1:31" ht="255">
      <c r="A212" s="4" t="s">
        <v>7</v>
      </c>
      <c r="B212" s="2" t="s">
        <v>237</v>
      </c>
      <c r="C212" s="27" t="s">
        <v>14</v>
      </c>
      <c r="D212" s="27" t="s">
        <v>14</v>
      </c>
      <c r="E212" s="8" t="s">
        <v>65</v>
      </c>
      <c r="F212" s="4">
        <v>0</v>
      </c>
      <c r="G212" s="4">
        <v>1</v>
      </c>
      <c r="H212" s="4">
        <v>0</v>
      </c>
      <c r="I212" s="4">
        <v>0</v>
      </c>
      <c r="J212" s="4" t="s">
        <v>344</v>
      </c>
      <c r="K212" s="8" t="s">
        <v>23</v>
      </c>
      <c r="L212" s="8">
        <v>1</v>
      </c>
      <c r="M212" s="8">
        <v>1</v>
      </c>
      <c r="N212" s="8" t="s">
        <v>907</v>
      </c>
      <c r="O212" s="8" t="s">
        <v>65</v>
      </c>
      <c r="P212" s="8">
        <v>4240</v>
      </c>
      <c r="Q212" s="8" t="s">
        <v>362</v>
      </c>
      <c r="R212" s="8" t="s">
        <v>368</v>
      </c>
      <c r="S212" s="10" t="s">
        <v>539</v>
      </c>
      <c r="T212" s="4" t="s">
        <v>906</v>
      </c>
      <c r="U212" s="4" t="s">
        <v>644</v>
      </c>
      <c r="V212" s="4" t="s">
        <v>65</v>
      </c>
      <c r="W212" s="4" t="s">
        <v>667</v>
      </c>
      <c r="X212" s="4" t="s">
        <v>65</v>
      </c>
      <c r="Y212" s="4">
        <v>0</v>
      </c>
      <c r="Z212" s="4"/>
      <c r="AA212" s="4" t="s">
        <v>65</v>
      </c>
      <c r="AB212" s="4" t="s">
        <v>65</v>
      </c>
      <c r="AC212" s="8"/>
      <c r="AD212" s="28" t="s">
        <v>796</v>
      </c>
      <c r="AE212" s="8" t="s">
        <v>795</v>
      </c>
    </row>
    <row r="213" spans="1:31" ht="255">
      <c r="A213" s="4" t="s">
        <v>7</v>
      </c>
      <c r="B213" s="2" t="s">
        <v>238</v>
      </c>
      <c r="C213" s="27" t="s">
        <v>14</v>
      </c>
      <c r="D213" s="27" t="s">
        <v>14</v>
      </c>
      <c r="E213" s="8" t="s">
        <v>65</v>
      </c>
      <c r="F213" s="4">
        <v>0</v>
      </c>
      <c r="G213" s="4">
        <v>0</v>
      </c>
      <c r="H213" s="4">
        <v>1</v>
      </c>
      <c r="I213" s="4">
        <v>0</v>
      </c>
      <c r="J213" s="4" t="s">
        <v>374</v>
      </c>
      <c r="K213" s="8" t="s">
        <v>23</v>
      </c>
      <c r="L213" s="8">
        <v>0</v>
      </c>
      <c r="M213" s="8">
        <v>0</v>
      </c>
      <c r="N213" s="8" t="s">
        <v>65</v>
      </c>
      <c r="O213" s="8" t="s">
        <v>65</v>
      </c>
      <c r="P213" s="8">
        <v>5457</v>
      </c>
      <c r="Q213" s="8" t="s">
        <v>356</v>
      </c>
      <c r="R213" s="8" t="s">
        <v>908</v>
      </c>
      <c r="S213" s="4" t="s">
        <v>909</v>
      </c>
      <c r="T213" s="4" t="s">
        <v>1048</v>
      </c>
      <c r="U213" s="4" t="s">
        <v>910</v>
      </c>
      <c r="V213" s="4" t="s">
        <v>496</v>
      </c>
      <c r="W213" s="4" t="s">
        <v>911</v>
      </c>
      <c r="X213" s="4" t="s">
        <v>65</v>
      </c>
      <c r="Y213" s="4">
        <v>1</v>
      </c>
      <c r="Z213" s="4" t="s">
        <v>682</v>
      </c>
      <c r="AA213" s="4" t="s">
        <v>723</v>
      </c>
      <c r="AB213" s="4" t="s">
        <v>723</v>
      </c>
      <c r="AC213" s="8"/>
      <c r="AD213" s="28" t="s">
        <v>798</v>
      </c>
      <c r="AE213" s="8" t="s">
        <v>797</v>
      </c>
    </row>
    <row r="214" spans="1:31" ht="17">
      <c r="A214" s="4" t="s">
        <v>7</v>
      </c>
      <c r="B214" s="2" t="s">
        <v>239</v>
      </c>
      <c r="C214" s="27" t="s">
        <v>14</v>
      </c>
      <c r="D214" s="25" t="s">
        <v>15</v>
      </c>
      <c r="E214" s="8" t="s">
        <v>25</v>
      </c>
      <c r="F214" s="4"/>
      <c r="G214" s="4"/>
      <c r="H214" s="4"/>
      <c r="I214" s="4"/>
      <c r="J214" s="4"/>
      <c r="K214" s="8"/>
      <c r="L214" s="8"/>
      <c r="M214" s="8"/>
      <c r="N214" s="8"/>
      <c r="O214" s="8"/>
      <c r="P214" s="8"/>
      <c r="Q214" s="8"/>
      <c r="R214" s="8"/>
      <c r="S214" s="4"/>
      <c r="T214" s="4"/>
      <c r="U214" s="4"/>
      <c r="V214" s="4"/>
      <c r="W214" s="4"/>
      <c r="X214" s="4"/>
      <c r="Y214" s="4"/>
      <c r="Z214" s="4"/>
      <c r="AA214" s="4"/>
      <c r="AB214" s="4"/>
      <c r="AC214" s="8"/>
      <c r="AD214" s="28"/>
      <c r="AE214" s="8"/>
    </row>
    <row r="215" spans="1:31" ht="289">
      <c r="A215" s="4" t="s">
        <v>7</v>
      </c>
      <c r="B215" s="2" t="s">
        <v>240</v>
      </c>
      <c r="C215" s="27" t="s">
        <v>14</v>
      </c>
      <c r="D215" s="27" t="s">
        <v>14</v>
      </c>
      <c r="E215" s="8" t="s">
        <v>65</v>
      </c>
      <c r="F215" s="4">
        <v>0</v>
      </c>
      <c r="G215" s="4">
        <v>1</v>
      </c>
      <c r="H215" s="4">
        <v>0</v>
      </c>
      <c r="I215" s="4">
        <v>0</v>
      </c>
      <c r="J215" s="4" t="s">
        <v>344</v>
      </c>
      <c r="K215" s="8" t="s">
        <v>23</v>
      </c>
      <c r="L215" s="8">
        <v>1</v>
      </c>
      <c r="M215" s="8">
        <v>1</v>
      </c>
      <c r="N215" s="8" t="s">
        <v>912</v>
      </c>
      <c r="O215" s="8" t="s">
        <v>65</v>
      </c>
      <c r="P215" s="8">
        <v>9861</v>
      </c>
      <c r="Q215" s="8" t="s">
        <v>543</v>
      </c>
      <c r="R215" s="8" t="s">
        <v>368</v>
      </c>
      <c r="S215" s="4" t="s">
        <v>913</v>
      </c>
      <c r="T215" s="4" t="s">
        <v>393</v>
      </c>
      <c r="U215" s="4" t="s">
        <v>361</v>
      </c>
      <c r="V215" s="4" t="s">
        <v>339</v>
      </c>
      <c r="W215" s="4" t="s">
        <v>914</v>
      </c>
      <c r="X215" s="4" t="s">
        <v>65</v>
      </c>
      <c r="Y215" s="4">
        <v>1</v>
      </c>
      <c r="Z215" s="4" t="s">
        <v>682</v>
      </c>
      <c r="AA215" s="4" t="s">
        <v>723</v>
      </c>
      <c r="AB215" s="4" t="s">
        <v>723</v>
      </c>
      <c r="AC215" s="8"/>
      <c r="AD215" s="28" t="s">
        <v>800</v>
      </c>
      <c r="AE215" s="8" t="s">
        <v>799</v>
      </c>
    </row>
    <row r="216" spans="1:31" ht="255">
      <c r="A216" s="4" t="s">
        <v>7</v>
      </c>
      <c r="B216" s="2" t="s">
        <v>241</v>
      </c>
      <c r="C216" s="27" t="s">
        <v>14</v>
      </c>
      <c r="D216" s="27" t="s">
        <v>14</v>
      </c>
      <c r="E216" s="8" t="s">
        <v>65</v>
      </c>
      <c r="F216" s="4">
        <v>0</v>
      </c>
      <c r="G216" s="4">
        <v>0</v>
      </c>
      <c r="H216" s="4">
        <v>1</v>
      </c>
      <c r="I216" s="4">
        <v>0</v>
      </c>
      <c r="J216" s="4" t="s">
        <v>374</v>
      </c>
      <c r="K216" s="8" t="s">
        <v>23</v>
      </c>
      <c r="L216" s="8">
        <v>0</v>
      </c>
      <c r="M216" s="8">
        <v>0</v>
      </c>
      <c r="N216" s="8" t="s">
        <v>65</v>
      </c>
      <c r="O216" s="8" t="s">
        <v>65</v>
      </c>
      <c r="P216" s="8">
        <v>9171</v>
      </c>
      <c r="Q216" s="8" t="s">
        <v>362</v>
      </c>
      <c r="R216" s="8" t="s">
        <v>916</v>
      </c>
      <c r="S216" s="4" t="s">
        <v>918</v>
      </c>
      <c r="T216" s="4" t="s">
        <v>915</v>
      </c>
      <c r="U216" s="4" t="s">
        <v>393</v>
      </c>
      <c r="V216" s="4" t="s">
        <v>339</v>
      </c>
      <c r="W216" s="4" t="s">
        <v>917</v>
      </c>
      <c r="X216" s="4" t="s">
        <v>65</v>
      </c>
      <c r="Y216" s="4">
        <v>0</v>
      </c>
      <c r="Z216" s="4"/>
      <c r="AA216" s="4" t="s">
        <v>65</v>
      </c>
      <c r="AB216" s="4" t="s">
        <v>65</v>
      </c>
      <c r="AC216" s="8"/>
      <c r="AD216" s="28" t="s">
        <v>802</v>
      </c>
      <c r="AE216" s="8" t="s">
        <v>801</v>
      </c>
    </row>
    <row r="217" spans="1:31" ht="17">
      <c r="A217" s="4" t="s">
        <v>7</v>
      </c>
      <c r="B217" s="2" t="s">
        <v>113</v>
      </c>
      <c r="C217" s="25" t="s">
        <v>15</v>
      </c>
      <c r="D217" s="8"/>
      <c r="E217" s="8" t="s">
        <v>298</v>
      </c>
      <c r="F217" s="4"/>
      <c r="G217" s="4"/>
      <c r="H217" s="4"/>
      <c r="I217" s="4"/>
      <c r="J217" s="4"/>
      <c r="K217" s="8"/>
      <c r="L217" s="8"/>
      <c r="M217" s="8"/>
      <c r="N217" s="8"/>
      <c r="O217" s="8"/>
      <c r="P217" s="8"/>
      <c r="Q217" s="8"/>
      <c r="R217" s="8"/>
      <c r="S217" s="4"/>
      <c r="T217" s="4"/>
      <c r="U217" s="4"/>
      <c r="V217" s="4"/>
      <c r="W217" s="4"/>
      <c r="X217" s="4"/>
      <c r="Y217" s="4"/>
      <c r="Z217" s="4"/>
      <c r="AA217" s="4"/>
      <c r="AB217" s="4"/>
      <c r="AC217" s="8"/>
      <c r="AD217" s="8"/>
      <c r="AE217" s="8"/>
    </row>
    <row r="218" spans="1:31" ht="17">
      <c r="A218" s="4" t="s">
        <v>7</v>
      </c>
      <c r="B218" s="2" t="s">
        <v>242</v>
      </c>
      <c r="C218" s="25" t="s">
        <v>15</v>
      </c>
      <c r="D218" s="8"/>
      <c r="E218" s="8" t="s">
        <v>294</v>
      </c>
      <c r="F218" s="4"/>
      <c r="G218" s="4"/>
      <c r="H218" s="4"/>
      <c r="I218" s="4"/>
      <c r="J218" s="4"/>
      <c r="K218" s="8"/>
      <c r="L218" s="8"/>
      <c r="M218" s="8"/>
      <c r="N218" s="8"/>
      <c r="O218" s="8"/>
      <c r="P218" s="8"/>
      <c r="Q218" s="8"/>
      <c r="R218" s="8"/>
      <c r="S218" s="4"/>
      <c r="T218" s="4"/>
      <c r="U218" s="4"/>
      <c r="V218" s="4"/>
      <c r="W218" s="4"/>
      <c r="X218" s="4"/>
      <c r="Y218" s="4"/>
      <c r="Z218" s="4"/>
      <c r="AA218" s="4"/>
      <c r="AB218" s="4"/>
      <c r="AC218" s="8"/>
      <c r="AD218" s="8"/>
      <c r="AE218" s="8"/>
    </row>
    <row r="219" spans="1:31" ht="289">
      <c r="A219" s="4" t="s">
        <v>7</v>
      </c>
      <c r="B219" s="2" t="s">
        <v>243</v>
      </c>
      <c r="C219" s="27" t="s">
        <v>14</v>
      </c>
      <c r="D219" s="27" t="s">
        <v>14</v>
      </c>
      <c r="E219" s="8" t="s">
        <v>65</v>
      </c>
      <c r="F219" s="4">
        <v>0</v>
      </c>
      <c r="G219" s="4">
        <v>1</v>
      </c>
      <c r="H219" s="4">
        <v>0</v>
      </c>
      <c r="I219" s="4">
        <v>0</v>
      </c>
      <c r="J219" s="4" t="s">
        <v>344</v>
      </c>
      <c r="K219" s="8" t="s">
        <v>23</v>
      </c>
      <c r="L219" s="8">
        <v>0</v>
      </c>
      <c r="M219" s="8">
        <v>1</v>
      </c>
      <c r="N219" s="8" t="s">
        <v>65</v>
      </c>
      <c r="O219" s="8" t="s">
        <v>65</v>
      </c>
      <c r="P219" s="8">
        <v>696</v>
      </c>
      <c r="Q219" s="8" t="s">
        <v>739</v>
      </c>
      <c r="R219" s="8" t="s">
        <v>368</v>
      </c>
      <c r="S219" s="4" t="s">
        <v>65</v>
      </c>
      <c r="T219" s="4" t="s">
        <v>919</v>
      </c>
      <c r="U219" s="4" t="s">
        <v>361</v>
      </c>
      <c r="V219" s="4" t="s">
        <v>65</v>
      </c>
      <c r="W219" s="4" t="s">
        <v>920</v>
      </c>
      <c r="X219" s="4" t="s">
        <v>65</v>
      </c>
      <c r="Y219" s="4">
        <v>0</v>
      </c>
      <c r="Z219" s="4"/>
      <c r="AA219" s="4" t="s">
        <v>65</v>
      </c>
      <c r="AB219" s="4" t="s">
        <v>65</v>
      </c>
      <c r="AC219" s="8"/>
      <c r="AD219" s="28" t="s">
        <v>804</v>
      </c>
      <c r="AE219" s="8" t="s">
        <v>803</v>
      </c>
    </row>
    <row r="220" spans="1:31" ht="17">
      <c r="A220" s="4" t="s">
        <v>7</v>
      </c>
      <c r="B220" s="2" t="s">
        <v>244</v>
      </c>
      <c r="C220" s="25" t="s">
        <v>15</v>
      </c>
      <c r="D220" s="8"/>
      <c r="E220" s="8" t="s">
        <v>298</v>
      </c>
      <c r="F220" s="4"/>
      <c r="G220" s="4"/>
      <c r="H220" s="4"/>
      <c r="I220" s="4"/>
      <c r="J220" s="4"/>
      <c r="K220" s="8"/>
      <c r="L220" s="8"/>
      <c r="M220" s="8"/>
      <c r="N220" s="8"/>
      <c r="O220" s="8"/>
      <c r="P220" s="8"/>
      <c r="Q220" s="8"/>
      <c r="R220" s="8"/>
      <c r="S220" s="4"/>
      <c r="T220" s="4"/>
      <c r="U220" s="4"/>
      <c r="V220" s="4"/>
      <c r="W220" s="4"/>
      <c r="X220" s="4"/>
      <c r="Y220" s="4"/>
      <c r="Z220" s="4"/>
      <c r="AA220" s="4"/>
      <c r="AB220" s="4"/>
      <c r="AC220" s="8"/>
      <c r="AD220" s="8"/>
      <c r="AE220" s="8"/>
    </row>
    <row r="221" spans="1:31" ht="17">
      <c r="A221" s="4" t="s">
        <v>7</v>
      </c>
      <c r="B221" s="2" t="s">
        <v>245</v>
      </c>
      <c r="C221" s="25" t="s">
        <v>15</v>
      </c>
      <c r="D221" s="8"/>
      <c r="E221" s="8" t="s">
        <v>298</v>
      </c>
      <c r="F221" s="4"/>
      <c r="G221" s="4"/>
      <c r="H221" s="4"/>
      <c r="I221" s="4"/>
      <c r="J221" s="4"/>
      <c r="K221" s="8"/>
      <c r="L221" s="8"/>
      <c r="M221" s="8"/>
      <c r="N221" s="8"/>
      <c r="O221" s="8"/>
      <c r="P221" s="8"/>
      <c r="Q221" s="8"/>
      <c r="R221" s="8"/>
      <c r="S221" s="4"/>
      <c r="T221" s="4"/>
      <c r="U221" s="4"/>
      <c r="V221" s="4"/>
      <c r="W221" s="4"/>
      <c r="X221" s="4"/>
      <c r="Y221" s="4"/>
      <c r="Z221" s="4"/>
      <c r="AA221" s="4"/>
      <c r="AB221" s="4"/>
      <c r="AC221" s="8"/>
      <c r="AD221" s="8"/>
      <c r="AE221" s="8"/>
    </row>
    <row r="222" spans="1:31" ht="255">
      <c r="A222" s="4" t="s">
        <v>7</v>
      </c>
      <c r="B222" s="2" t="s">
        <v>246</v>
      </c>
      <c r="C222" s="27" t="s">
        <v>14</v>
      </c>
      <c r="D222" s="27" t="s">
        <v>14</v>
      </c>
      <c r="E222" s="8" t="s">
        <v>65</v>
      </c>
      <c r="F222" s="4">
        <v>0</v>
      </c>
      <c r="G222" s="4">
        <v>1</v>
      </c>
      <c r="H222" s="4">
        <v>0</v>
      </c>
      <c r="I222" s="4">
        <v>0</v>
      </c>
      <c r="J222" s="4" t="s">
        <v>344</v>
      </c>
      <c r="K222" s="8" t="s">
        <v>23</v>
      </c>
      <c r="L222" s="8">
        <v>0</v>
      </c>
      <c r="M222" s="8">
        <v>0</v>
      </c>
      <c r="N222" s="8" t="s">
        <v>65</v>
      </c>
      <c r="O222" s="8" t="s">
        <v>65</v>
      </c>
      <c r="P222" s="8">
        <v>1273</v>
      </c>
      <c r="Q222" s="8" t="s">
        <v>739</v>
      </c>
      <c r="R222" s="8" t="s">
        <v>368</v>
      </c>
      <c r="S222" s="4" t="s">
        <v>922</v>
      </c>
      <c r="T222" s="4" t="s">
        <v>402</v>
      </c>
      <c r="U222" s="4" t="s">
        <v>361</v>
      </c>
      <c r="V222" s="4" t="s">
        <v>923</v>
      </c>
      <c r="W222" s="4" t="s">
        <v>921</v>
      </c>
      <c r="X222" s="4" t="s">
        <v>65</v>
      </c>
      <c r="Y222" s="4">
        <v>0</v>
      </c>
      <c r="Z222" s="4"/>
      <c r="AA222" s="4" t="s">
        <v>65</v>
      </c>
      <c r="AB222" s="4" t="s">
        <v>65</v>
      </c>
      <c r="AC222" s="8"/>
      <c r="AD222" s="8" t="s">
        <v>806</v>
      </c>
      <c r="AE222" s="8" t="s">
        <v>805</v>
      </c>
    </row>
    <row r="223" spans="1:31" ht="17">
      <c r="A223" s="4" t="s">
        <v>7</v>
      </c>
      <c r="B223" s="2" t="s">
        <v>247</v>
      </c>
      <c r="C223" s="25" t="s">
        <v>15</v>
      </c>
      <c r="D223" s="8"/>
      <c r="E223" s="8" t="s">
        <v>298</v>
      </c>
      <c r="F223" s="4"/>
      <c r="G223" s="4"/>
      <c r="H223" s="4"/>
      <c r="I223" s="4"/>
      <c r="J223" s="4"/>
      <c r="K223" s="8"/>
      <c r="L223" s="8"/>
      <c r="M223" s="8"/>
      <c r="N223" s="8"/>
      <c r="O223" s="8"/>
      <c r="P223" s="8"/>
      <c r="Q223" s="8"/>
      <c r="R223" s="8"/>
      <c r="S223" s="4"/>
      <c r="T223" s="4"/>
      <c r="U223" s="4"/>
      <c r="V223" s="4"/>
      <c r="W223" s="4"/>
      <c r="X223" s="4"/>
      <c r="Y223" s="4"/>
      <c r="Z223" s="4"/>
      <c r="AA223" s="4"/>
      <c r="AB223" s="4"/>
      <c r="AC223" s="8"/>
      <c r="AD223" s="8"/>
      <c r="AE223" s="8"/>
    </row>
    <row r="224" spans="1:31" ht="306">
      <c r="A224" s="4" t="s">
        <v>7</v>
      </c>
      <c r="B224" s="2" t="s">
        <v>248</v>
      </c>
      <c r="C224" s="27" t="s">
        <v>14</v>
      </c>
      <c r="D224" s="27" t="s">
        <v>14</v>
      </c>
      <c r="E224" s="8" t="s">
        <v>65</v>
      </c>
      <c r="F224" s="4">
        <v>0</v>
      </c>
      <c r="G224" s="4">
        <v>1</v>
      </c>
      <c r="H224" s="4">
        <v>0</v>
      </c>
      <c r="I224" s="4">
        <v>0</v>
      </c>
      <c r="J224" s="4" t="s">
        <v>344</v>
      </c>
      <c r="K224" s="8" t="s">
        <v>682</v>
      </c>
      <c r="L224" s="8">
        <v>0</v>
      </c>
      <c r="M224" s="8">
        <v>0</v>
      </c>
      <c r="N224" s="8" t="s">
        <v>65</v>
      </c>
      <c r="O224" s="8" t="s">
        <v>65</v>
      </c>
      <c r="P224" s="8">
        <v>115</v>
      </c>
      <c r="Q224" s="8" t="s">
        <v>924</v>
      </c>
      <c r="R224" s="8" t="s">
        <v>368</v>
      </c>
      <c r="S224" s="4" t="s">
        <v>65</v>
      </c>
      <c r="T224" s="4" t="s">
        <v>402</v>
      </c>
      <c r="U224" s="4" t="s">
        <v>361</v>
      </c>
      <c r="V224" s="4" t="s">
        <v>65</v>
      </c>
      <c r="W224" s="4" t="s">
        <v>585</v>
      </c>
      <c r="X224" s="4" t="s">
        <v>65</v>
      </c>
      <c r="Y224" s="4">
        <v>1</v>
      </c>
      <c r="Z224" s="4" t="s">
        <v>682</v>
      </c>
      <c r="AA224" s="10" t="s">
        <v>1035</v>
      </c>
      <c r="AB224" s="4" t="s">
        <v>925</v>
      </c>
      <c r="AC224" s="8"/>
      <c r="AD224" s="28" t="s">
        <v>808</v>
      </c>
      <c r="AE224" s="8" t="s">
        <v>807</v>
      </c>
    </row>
    <row r="225" spans="1:31" ht="289">
      <c r="A225" s="4" t="s">
        <v>10</v>
      </c>
      <c r="B225" s="2" t="s">
        <v>249</v>
      </c>
      <c r="C225" s="27" t="s">
        <v>14</v>
      </c>
      <c r="D225" s="27" t="s">
        <v>14</v>
      </c>
      <c r="E225" s="8" t="s">
        <v>65</v>
      </c>
      <c r="F225" s="4">
        <v>0</v>
      </c>
      <c r="G225" s="4">
        <v>0</v>
      </c>
      <c r="H225" s="4">
        <v>1</v>
      </c>
      <c r="I225" s="4">
        <v>0</v>
      </c>
      <c r="J225" s="4" t="s">
        <v>344</v>
      </c>
      <c r="K225" s="8" t="s">
        <v>23</v>
      </c>
      <c r="L225" s="8">
        <v>0</v>
      </c>
      <c r="M225" s="8">
        <v>0</v>
      </c>
      <c r="N225" s="8" t="s">
        <v>65</v>
      </c>
      <c r="O225" s="8" t="s">
        <v>65</v>
      </c>
      <c r="P225" s="8">
        <v>567</v>
      </c>
      <c r="Q225" s="8" t="s">
        <v>927</v>
      </c>
      <c r="R225" s="8" t="s">
        <v>926</v>
      </c>
      <c r="S225" s="4" t="s">
        <v>65</v>
      </c>
      <c r="T225" s="4" t="s">
        <v>928</v>
      </c>
      <c r="U225" s="4" t="s">
        <v>928</v>
      </c>
      <c r="V225" s="4" t="s">
        <v>65</v>
      </c>
      <c r="W225" s="4" t="s">
        <v>65</v>
      </c>
      <c r="X225" s="4" t="s">
        <v>65</v>
      </c>
      <c r="Y225" s="4">
        <v>0</v>
      </c>
      <c r="Z225" s="4"/>
      <c r="AA225" s="4" t="s">
        <v>65</v>
      </c>
      <c r="AB225" s="4" t="s">
        <v>65</v>
      </c>
      <c r="AC225" s="8"/>
      <c r="AD225" s="28" t="s">
        <v>812</v>
      </c>
      <c r="AE225" s="8" t="s">
        <v>811</v>
      </c>
    </row>
    <row r="226" spans="1:31" ht="17">
      <c r="A226" s="4" t="s">
        <v>7</v>
      </c>
      <c r="B226" s="2" t="s">
        <v>250</v>
      </c>
      <c r="C226" s="25" t="s">
        <v>15</v>
      </c>
      <c r="D226" s="8"/>
      <c r="E226" s="8" t="s">
        <v>298</v>
      </c>
      <c r="F226" s="4"/>
      <c r="G226" s="4"/>
      <c r="H226" s="4"/>
      <c r="I226" s="4"/>
      <c r="J226" s="4"/>
      <c r="K226" s="8"/>
      <c r="L226" s="8"/>
      <c r="M226" s="9"/>
      <c r="N226" s="9"/>
      <c r="O226" s="9"/>
      <c r="P226" s="8"/>
      <c r="Q226" s="8"/>
      <c r="R226" s="8"/>
      <c r="S226" s="10"/>
      <c r="T226" s="4"/>
      <c r="U226" s="4"/>
      <c r="V226" s="10"/>
      <c r="W226" s="10"/>
      <c r="X226" s="10"/>
      <c r="Y226" s="10"/>
      <c r="Z226" s="10"/>
      <c r="AA226" s="10"/>
      <c r="AB226" s="10"/>
      <c r="AC226" s="8"/>
      <c r="AD226" s="8"/>
      <c r="AE226" s="8"/>
    </row>
    <row r="227" spans="1:31" ht="17">
      <c r="A227" s="4" t="s">
        <v>7</v>
      </c>
      <c r="B227" s="2" t="s">
        <v>251</v>
      </c>
      <c r="C227" s="25" t="s">
        <v>15</v>
      </c>
      <c r="D227" s="15"/>
      <c r="E227" s="8" t="s">
        <v>929</v>
      </c>
      <c r="F227" s="4"/>
      <c r="G227" s="4"/>
      <c r="H227" s="4"/>
      <c r="I227" s="4"/>
      <c r="J227" s="4"/>
      <c r="K227" s="8"/>
      <c r="L227" s="8"/>
      <c r="M227" s="8"/>
      <c r="N227" s="8"/>
      <c r="O227" s="8"/>
      <c r="P227" s="8"/>
      <c r="Q227" s="8"/>
      <c r="R227" s="8"/>
      <c r="S227" s="10"/>
      <c r="T227" s="4"/>
      <c r="U227" s="4"/>
      <c r="V227" s="21"/>
      <c r="W227" s="14"/>
      <c r="X227" s="4"/>
      <c r="Y227" s="10"/>
      <c r="Z227" s="10"/>
      <c r="AA227" s="10"/>
      <c r="AB227" s="10"/>
      <c r="AC227" s="8"/>
      <c r="AD227" s="28"/>
      <c r="AE227" s="8"/>
    </row>
    <row r="228" spans="1:31" ht="204">
      <c r="A228" s="4" t="s">
        <v>10</v>
      </c>
      <c r="B228" s="2" t="s">
        <v>252</v>
      </c>
      <c r="C228" s="27" t="s">
        <v>14</v>
      </c>
      <c r="D228" s="27" t="s">
        <v>14</v>
      </c>
      <c r="E228" s="8" t="s">
        <v>65</v>
      </c>
      <c r="F228" s="4">
        <v>0</v>
      </c>
      <c r="G228" s="4">
        <v>1</v>
      </c>
      <c r="H228" s="4">
        <v>0</v>
      </c>
      <c r="I228" s="4">
        <v>0</v>
      </c>
      <c r="J228" s="4" t="s">
        <v>344</v>
      </c>
      <c r="K228" s="8" t="s">
        <v>23</v>
      </c>
      <c r="L228" s="8">
        <v>0</v>
      </c>
      <c r="M228" s="8">
        <v>0</v>
      </c>
      <c r="N228" s="8" t="s">
        <v>65</v>
      </c>
      <c r="O228" s="8">
        <v>1</v>
      </c>
      <c r="P228" s="8">
        <v>645</v>
      </c>
      <c r="Q228" s="8" t="s">
        <v>362</v>
      </c>
      <c r="R228" s="8" t="s">
        <v>368</v>
      </c>
      <c r="S228" s="10" t="s">
        <v>930</v>
      </c>
      <c r="T228" s="14" t="s">
        <v>931</v>
      </c>
      <c r="U228" s="10" t="s">
        <v>393</v>
      </c>
      <c r="V228" s="21" t="s">
        <v>339</v>
      </c>
      <c r="W228" s="10" t="s">
        <v>932</v>
      </c>
      <c r="X228" s="10" t="s">
        <v>933</v>
      </c>
      <c r="Y228" s="10">
        <v>0</v>
      </c>
      <c r="Z228" s="10"/>
      <c r="AA228" s="10" t="s">
        <v>65</v>
      </c>
      <c r="AB228" s="10" t="s">
        <v>65</v>
      </c>
      <c r="AC228" s="8"/>
      <c r="AD228" s="28" t="s">
        <v>809</v>
      </c>
      <c r="AE228" s="8" t="s">
        <v>810</v>
      </c>
    </row>
    <row r="229" spans="1:31" ht="323">
      <c r="A229" s="4" t="s">
        <v>7</v>
      </c>
      <c r="B229" s="2" t="s">
        <v>253</v>
      </c>
      <c r="C229" s="23" t="s">
        <v>14</v>
      </c>
      <c r="D229" s="23" t="s">
        <v>14</v>
      </c>
      <c r="E229" s="8" t="s">
        <v>65</v>
      </c>
      <c r="F229" s="4">
        <v>0</v>
      </c>
      <c r="G229" s="4">
        <v>1</v>
      </c>
      <c r="H229" s="4">
        <v>0</v>
      </c>
      <c r="I229" s="4">
        <v>0</v>
      </c>
      <c r="J229" s="4" t="s">
        <v>344</v>
      </c>
      <c r="K229" s="8" t="s">
        <v>23</v>
      </c>
      <c r="L229" s="8">
        <v>0</v>
      </c>
      <c r="M229" s="8">
        <v>0</v>
      </c>
      <c r="N229" s="8" t="s">
        <v>65</v>
      </c>
      <c r="O229" s="8">
        <v>0</v>
      </c>
      <c r="P229" s="8">
        <v>606</v>
      </c>
      <c r="Q229" s="8" t="s">
        <v>1047</v>
      </c>
      <c r="R229" s="8" t="s">
        <v>58</v>
      </c>
      <c r="S229" s="10" t="s">
        <v>65</v>
      </c>
      <c r="T229" s="10" t="s">
        <v>1046</v>
      </c>
      <c r="U229" s="10" t="s">
        <v>361</v>
      </c>
      <c r="V229" s="10" t="s">
        <v>65</v>
      </c>
      <c r="W229" s="10" t="s">
        <v>1064</v>
      </c>
      <c r="X229" s="10" t="s">
        <v>65</v>
      </c>
      <c r="Y229" s="10">
        <v>1</v>
      </c>
      <c r="Z229" s="10" t="s">
        <v>682</v>
      </c>
      <c r="AA229" s="10" t="s">
        <v>723</v>
      </c>
      <c r="AB229" s="10" t="s">
        <v>723</v>
      </c>
      <c r="AC229" s="8"/>
      <c r="AD229" s="8"/>
      <c r="AE229" s="8" t="s">
        <v>369</v>
      </c>
    </row>
    <row r="230" spans="1:31" ht="238">
      <c r="A230" s="4" t="s">
        <v>7</v>
      </c>
      <c r="B230" s="2" t="s">
        <v>244</v>
      </c>
      <c r="C230" s="23" t="s">
        <v>14</v>
      </c>
      <c r="D230" s="23" t="s">
        <v>14</v>
      </c>
      <c r="E230" s="8" t="s">
        <v>65</v>
      </c>
      <c r="F230" s="4">
        <v>0</v>
      </c>
      <c r="G230" s="4">
        <v>1</v>
      </c>
      <c r="H230" s="4">
        <v>0</v>
      </c>
      <c r="I230" s="4">
        <v>0</v>
      </c>
      <c r="J230" s="4" t="s">
        <v>344</v>
      </c>
      <c r="K230" s="8" t="s">
        <v>23</v>
      </c>
      <c r="L230" s="8">
        <v>0</v>
      </c>
      <c r="M230" s="8">
        <v>0</v>
      </c>
      <c r="N230" s="8" t="s">
        <v>65</v>
      </c>
      <c r="O230" s="8">
        <v>0</v>
      </c>
      <c r="P230" s="8">
        <v>723</v>
      </c>
      <c r="Q230" s="8" t="s">
        <v>614</v>
      </c>
      <c r="R230" s="8" t="s">
        <v>368</v>
      </c>
      <c r="S230" s="10" t="s">
        <v>65</v>
      </c>
      <c r="T230" s="10" t="s">
        <v>393</v>
      </c>
      <c r="U230" s="10" t="s">
        <v>361</v>
      </c>
      <c r="V230" s="10" t="s">
        <v>65</v>
      </c>
      <c r="W230" s="10" t="s">
        <v>935</v>
      </c>
      <c r="X230" s="10" t="s">
        <v>65</v>
      </c>
      <c r="Y230" s="10">
        <v>1</v>
      </c>
      <c r="Z230" s="10" t="s">
        <v>682</v>
      </c>
      <c r="AA230" s="10" t="s">
        <v>1035</v>
      </c>
      <c r="AB230" s="10" t="s">
        <v>934</v>
      </c>
      <c r="AC230" s="8"/>
      <c r="AD230" s="28" t="s">
        <v>814</v>
      </c>
      <c r="AE230" s="8" t="s">
        <v>813</v>
      </c>
    </row>
    <row r="231" spans="1:31" ht="255">
      <c r="A231" s="4" t="s">
        <v>7</v>
      </c>
      <c r="B231" s="2" t="s">
        <v>254</v>
      </c>
      <c r="C231" s="23" t="s">
        <v>14</v>
      </c>
      <c r="D231" s="23" t="s">
        <v>14</v>
      </c>
      <c r="E231" s="8" t="s">
        <v>65</v>
      </c>
      <c r="F231" s="4">
        <v>1</v>
      </c>
      <c r="G231" s="4">
        <v>0</v>
      </c>
      <c r="H231" s="4">
        <v>0</v>
      </c>
      <c r="I231" s="4">
        <v>0</v>
      </c>
      <c r="J231" s="4" t="s">
        <v>344</v>
      </c>
      <c r="K231" s="8" t="s">
        <v>23</v>
      </c>
      <c r="L231" s="8">
        <v>0</v>
      </c>
      <c r="M231" s="8">
        <v>0</v>
      </c>
      <c r="N231" s="8" t="s">
        <v>65</v>
      </c>
      <c r="O231" s="8">
        <v>0</v>
      </c>
      <c r="P231" s="8">
        <v>2085</v>
      </c>
      <c r="Q231" s="8" t="s">
        <v>469</v>
      </c>
      <c r="R231" s="8" t="s">
        <v>471</v>
      </c>
      <c r="S231" s="10" t="s">
        <v>65</v>
      </c>
      <c r="T231" s="10" t="s">
        <v>936</v>
      </c>
      <c r="U231" s="10" t="s">
        <v>937</v>
      </c>
      <c r="V231" s="10" t="s">
        <v>65</v>
      </c>
      <c r="W231" s="10" t="s">
        <v>938</v>
      </c>
      <c r="X231" s="10" t="s">
        <v>65</v>
      </c>
      <c r="Y231" s="10">
        <v>0</v>
      </c>
      <c r="Z231" s="10"/>
      <c r="AA231" s="10" t="s">
        <v>65</v>
      </c>
      <c r="AB231" s="10" t="s">
        <v>65</v>
      </c>
      <c r="AC231" s="8"/>
      <c r="AD231" s="28" t="s">
        <v>816</v>
      </c>
      <c r="AE231" s="8" t="s">
        <v>815</v>
      </c>
    </row>
    <row r="232" spans="1:31" ht="17">
      <c r="A232" s="4" t="s">
        <v>7</v>
      </c>
      <c r="B232" s="2" t="s">
        <v>190</v>
      </c>
      <c r="C232" s="25" t="s">
        <v>15</v>
      </c>
      <c r="D232" s="8"/>
      <c r="E232" s="8" t="s">
        <v>298</v>
      </c>
      <c r="F232" s="4"/>
      <c r="G232" s="4"/>
      <c r="H232" s="4"/>
      <c r="I232" s="4"/>
      <c r="J232" s="4"/>
      <c r="K232" s="8"/>
      <c r="L232" s="8"/>
      <c r="M232" s="8"/>
      <c r="N232" s="8"/>
      <c r="O232" s="8"/>
      <c r="P232" s="8"/>
      <c r="Q232" s="8"/>
      <c r="R232" s="8"/>
      <c r="S232" s="10"/>
      <c r="T232" s="10"/>
      <c r="U232" s="10"/>
      <c r="V232" s="10"/>
      <c r="W232" s="10"/>
      <c r="X232" s="10"/>
      <c r="Y232" s="10"/>
      <c r="Z232" s="10"/>
      <c r="AA232" s="10"/>
      <c r="AB232" s="10"/>
      <c r="AC232" s="8"/>
      <c r="AD232" s="8"/>
      <c r="AE232" s="8"/>
    </row>
    <row r="233" spans="1:31" ht="17">
      <c r="A233" s="4" t="s">
        <v>7</v>
      </c>
      <c r="B233" s="2" t="s">
        <v>255</v>
      </c>
      <c r="C233" s="25" t="s">
        <v>15</v>
      </c>
      <c r="D233" s="8"/>
      <c r="E233" s="8" t="s">
        <v>298</v>
      </c>
      <c r="F233" s="4"/>
      <c r="G233" s="4"/>
      <c r="H233" s="4"/>
      <c r="I233" s="4"/>
      <c r="J233" s="4"/>
      <c r="K233" s="8"/>
      <c r="L233" s="8"/>
      <c r="M233" s="8"/>
      <c r="N233" s="8"/>
      <c r="O233" s="8"/>
      <c r="P233" s="8"/>
      <c r="Q233" s="8"/>
      <c r="R233" s="8"/>
      <c r="S233" s="10"/>
      <c r="T233" s="10"/>
      <c r="U233" s="10"/>
      <c r="V233" s="10"/>
      <c r="W233" s="10"/>
      <c r="X233" s="10"/>
      <c r="Y233" s="10"/>
      <c r="Z233" s="10"/>
      <c r="AA233" s="10"/>
      <c r="AB233" s="10"/>
      <c r="AC233" s="8"/>
      <c r="AD233" s="8"/>
      <c r="AE233" s="8"/>
    </row>
    <row r="234" spans="1:31" ht="238">
      <c r="A234" s="4" t="s">
        <v>7</v>
      </c>
      <c r="B234" s="2" t="s">
        <v>256</v>
      </c>
      <c r="C234" s="23" t="s">
        <v>14</v>
      </c>
      <c r="D234" s="23" t="s">
        <v>14</v>
      </c>
      <c r="E234" s="8" t="s">
        <v>65</v>
      </c>
      <c r="F234" s="4">
        <v>0</v>
      </c>
      <c r="G234" s="4">
        <v>1</v>
      </c>
      <c r="H234" s="4">
        <v>0</v>
      </c>
      <c r="I234" s="4">
        <v>0</v>
      </c>
      <c r="J234" s="4" t="s">
        <v>344</v>
      </c>
      <c r="K234" s="8" t="s">
        <v>23</v>
      </c>
      <c r="L234" s="8">
        <v>0</v>
      </c>
      <c r="M234" s="8">
        <v>0</v>
      </c>
      <c r="N234" s="8" t="s">
        <v>65</v>
      </c>
      <c r="O234" s="8">
        <v>0</v>
      </c>
      <c r="P234" s="8">
        <v>1906</v>
      </c>
      <c r="Q234" s="8" t="s">
        <v>939</v>
      </c>
      <c r="R234" s="8" t="s">
        <v>368</v>
      </c>
      <c r="S234" s="10" t="s">
        <v>65</v>
      </c>
      <c r="T234" s="10" t="s">
        <v>940</v>
      </c>
      <c r="U234" s="10" t="s">
        <v>402</v>
      </c>
      <c r="V234" s="10" t="s">
        <v>496</v>
      </c>
      <c r="W234" s="10" t="s">
        <v>941</v>
      </c>
      <c r="X234" s="10" t="s">
        <v>65</v>
      </c>
      <c r="Y234" s="10">
        <v>1</v>
      </c>
      <c r="Z234" s="10" t="s">
        <v>682</v>
      </c>
      <c r="AA234" s="10" t="s">
        <v>723</v>
      </c>
      <c r="AB234" s="10" t="s">
        <v>723</v>
      </c>
      <c r="AC234" s="8"/>
      <c r="AD234" s="28" t="s">
        <v>818</v>
      </c>
      <c r="AE234" s="8" t="s">
        <v>817</v>
      </c>
    </row>
    <row r="235" spans="1:31" ht="289">
      <c r="A235" s="4" t="s">
        <v>7</v>
      </c>
      <c r="B235" s="2" t="s">
        <v>257</v>
      </c>
      <c r="C235" s="23" t="s">
        <v>14</v>
      </c>
      <c r="D235" s="23" t="s">
        <v>14</v>
      </c>
      <c r="E235" s="8" t="s">
        <v>65</v>
      </c>
      <c r="F235" s="4">
        <v>0</v>
      </c>
      <c r="G235" s="4">
        <v>1</v>
      </c>
      <c r="H235" s="4">
        <v>0</v>
      </c>
      <c r="I235" s="4">
        <v>0</v>
      </c>
      <c r="J235" s="4" t="s">
        <v>344</v>
      </c>
      <c r="K235" s="8" t="s">
        <v>23</v>
      </c>
      <c r="L235" s="8">
        <v>0</v>
      </c>
      <c r="M235" s="8">
        <v>1</v>
      </c>
      <c r="N235" s="8" t="s">
        <v>65</v>
      </c>
      <c r="O235" s="8">
        <v>0</v>
      </c>
      <c r="P235" s="8">
        <v>4190</v>
      </c>
      <c r="Q235" s="8" t="s">
        <v>362</v>
      </c>
      <c r="R235" s="8" t="s">
        <v>368</v>
      </c>
      <c r="S235" s="10" t="s">
        <v>620</v>
      </c>
      <c r="T235" s="10" t="s">
        <v>1072</v>
      </c>
      <c r="U235" s="10" t="s">
        <v>447</v>
      </c>
      <c r="V235" s="10" t="s">
        <v>496</v>
      </c>
      <c r="W235" s="10" t="s">
        <v>942</v>
      </c>
      <c r="X235" s="10" t="s">
        <v>65</v>
      </c>
      <c r="Y235" s="10">
        <v>0</v>
      </c>
      <c r="Z235" s="10"/>
      <c r="AA235" s="10" t="s">
        <v>65</v>
      </c>
      <c r="AB235" s="10" t="s">
        <v>65</v>
      </c>
      <c r="AC235" s="8"/>
      <c r="AD235" s="28" t="s">
        <v>820</v>
      </c>
      <c r="AE235" s="8" t="s">
        <v>819</v>
      </c>
    </row>
    <row r="236" spans="1:31" ht="221">
      <c r="A236" s="4" t="s">
        <v>7</v>
      </c>
      <c r="B236" s="2" t="s">
        <v>258</v>
      </c>
      <c r="C236" s="23" t="s">
        <v>14</v>
      </c>
      <c r="D236" s="23" t="s">
        <v>14</v>
      </c>
      <c r="E236" s="8" t="s">
        <v>65</v>
      </c>
      <c r="F236" s="4">
        <v>0</v>
      </c>
      <c r="G236" s="4">
        <v>1</v>
      </c>
      <c r="H236" s="4">
        <v>0</v>
      </c>
      <c r="I236" s="4">
        <v>0</v>
      </c>
      <c r="J236" s="4" t="s">
        <v>344</v>
      </c>
      <c r="K236" s="8" t="s">
        <v>23</v>
      </c>
      <c r="L236" s="8">
        <v>0</v>
      </c>
      <c r="M236" s="8">
        <v>1</v>
      </c>
      <c r="N236" s="8" t="s">
        <v>65</v>
      </c>
      <c r="O236" s="8">
        <v>0</v>
      </c>
      <c r="P236" s="8">
        <v>2747</v>
      </c>
      <c r="Q236" s="8" t="s">
        <v>362</v>
      </c>
      <c r="R236" s="8" t="s">
        <v>368</v>
      </c>
      <c r="S236" s="10" t="s">
        <v>65</v>
      </c>
      <c r="T236" s="10" t="s">
        <v>944</v>
      </c>
      <c r="U236" s="10" t="s">
        <v>402</v>
      </c>
      <c r="V236" s="10" t="s">
        <v>946</v>
      </c>
      <c r="W236" s="10" t="s">
        <v>945</v>
      </c>
      <c r="X236" s="10" t="s">
        <v>65</v>
      </c>
      <c r="Y236" s="10">
        <v>0</v>
      </c>
      <c r="Z236" s="10"/>
      <c r="AA236" s="10" t="s">
        <v>65</v>
      </c>
      <c r="AB236" s="10" t="s">
        <v>65</v>
      </c>
      <c r="AC236" s="8"/>
      <c r="AD236" s="28" t="s">
        <v>821</v>
      </c>
      <c r="AE236" s="8" t="s">
        <v>943</v>
      </c>
    </row>
    <row r="237" spans="1:31" ht="289">
      <c r="A237" s="4" t="s">
        <v>7</v>
      </c>
      <c r="B237" s="2" t="s">
        <v>259</v>
      </c>
      <c r="C237" s="23" t="s">
        <v>14</v>
      </c>
      <c r="D237" s="23" t="s">
        <v>14</v>
      </c>
      <c r="E237" s="8" t="s">
        <v>65</v>
      </c>
      <c r="F237" s="4">
        <v>0</v>
      </c>
      <c r="G237" s="4">
        <v>0</v>
      </c>
      <c r="H237" s="4">
        <v>1</v>
      </c>
      <c r="I237" s="4">
        <v>0</v>
      </c>
      <c r="J237" s="4" t="s">
        <v>374</v>
      </c>
      <c r="K237" s="8" t="s">
        <v>23</v>
      </c>
      <c r="L237" s="8">
        <v>1</v>
      </c>
      <c r="M237" s="8">
        <v>1</v>
      </c>
      <c r="N237" s="8" t="s">
        <v>947</v>
      </c>
      <c r="O237" s="8">
        <v>0</v>
      </c>
      <c r="P237" s="8">
        <v>173274</v>
      </c>
      <c r="Q237" s="8" t="s">
        <v>1059</v>
      </c>
      <c r="R237" s="8" t="s">
        <v>908</v>
      </c>
      <c r="S237" s="10" t="s">
        <v>65</v>
      </c>
      <c r="T237" s="10" t="s">
        <v>948</v>
      </c>
      <c r="U237" s="10" t="s">
        <v>950</v>
      </c>
      <c r="V237" s="10" t="s">
        <v>951</v>
      </c>
      <c r="W237" s="10" t="s">
        <v>949</v>
      </c>
      <c r="X237" s="10" t="s">
        <v>65</v>
      </c>
      <c r="Y237" s="10">
        <v>0</v>
      </c>
      <c r="Z237" s="10"/>
      <c r="AA237" s="10" t="s">
        <v>65</v>
      </c>
      <c r="AB237" s="10" t="s">
        <v>65</v>
      </c>
      <c r="AC237" s="8"/>
      <c r="AD237" s="28" t="s">
        <v>823</v>
      </c>
      <c r="AE237" s="8" t="s">
        <v>822</v>
      </c>
    </row>
    <row r="238" spans="1:31" ht="255">
      <c r="A238" s="4" t="s">
        <v>7</v>
      </c>
      <c r="B238" s="2" t="s">
        <v>260</v>
      </c>
      <c r="C238" s="23" t="s">
        <v>14</v>
      </c>
      <c r="D238" s="23" t="s">
        <v>14</v>
      </c>
      <c r="E238" s="8" t="s">
        <v>65</v>
      </c>
      <c r="F238" s="4">
        <v>0</v>
      </c>
      <c r="G238" s="4">
        <v>0</v>
      </c>
      <c r="H238" s="4">
        <v>1</v>
      </c>
      <c r="I238" s="4">
        <v>0</v>
      </c>
      <c r="J238" s="4" t="s">
        <v>344</v>
      </c>
      <c r="K238" s="8" t="s">
        <v>23</v>
      </c>
      <c r="L238" s="8">
        <v>0</v>
      </c>
      <c r="M238" s="8">
        <v>0</v>
      </c>
      <c r="N238" s="8" t="s">
        <v>65</v>
      </c>
      <c r="O238" s="8">
        <v>0</v>
      </c>
      <c r="P238" s="8">
        <v>2037</v>
      </c>
      <c r="Q238" s="8" t="s">
        <v>707</v>
      </c>
      <c r="R238" s="8" t="s">
        <v>634</v>
      </c>
      <c r="S238" s="10" t="s">
        <v>65</v>
      </c>
      <c r="T238" s="10" t="s">
        <v>952</v>
      </c>
      <c r="U238" s="10" t="s">
        <v>447</v>
      </c>
      <c r="V238" s="10" t="s">
        <v>954</v>
      </c>
      <c r="W238" s="10" t="s">
        <v>953</v>
      </c>
      <c r="X238" s="10">
        <v>0</v>
      </c>
      <c r="Y238" s="10">
        <v>0</v>
      </c>
      <c r="Z238" s="10"/>
      <c r="AA238" s="10" t="s">
        <v>65</v>
      </c>
      <c r="AB238" s="10" t="s">
        <v>65</v>
      </c>
      <c r="AC238" s="8"/>
      <c r="AD238" s="28" t="s">
        <v>825</v>
      </c>
      <c r="AE238" s="8" t="s">
        <v>824</v>
      </c>
    </row>
    <row r="239" spans="1:31" ht="17">
      <c r="A239" s="4" t="s">
        <v>7</v>
      </c>
      <c r="B239" s="2" t="s">
        <v>261</v>
      </c>
      <c r="C239" s="25" t="s">
        <v>15</v>
      </c>
      <c r="D239" s="8"/>
      <c r="E239" s="8" t="s">
        <v>298</v>
      </c>
      <c r="F239" s="4"/>
      <c r="G239" s="4"/>
      <c r="H239" s="4"/>
      <c r="I239" s="4"/>
      <c r="J239" s="4"/>
      <c r="K239" s="8"/>
      <c r="L239" s="8"/>
      <c r="M239" s="8"/>
      <c r="N239" s="8"/>
      <c r="O239" s="8"/>
      <c r="P239" s="8"/>
      <c r="Q239" s="8"/>
      <c r="R239" s="8"/>
      <c r="S239" s="10"/>
      <c r="T239" s="10"/>
      <c r="U239" s="10"/>
      <c r="V239" s="10"/>
      <c r="W239" s="10"/>
      <c r="X239" s="10"/>
      <c r="Y239" s="10"/>
      <c r="Z239" s="10"/>
      <c r="AA239" s="10"/>
      <c r="AB239" s="10"/>
      <c r="AC239" s="8"/>
      <c r="AD239" s="8"/>
      <c r="AE239" s="8"/>
    </row>
    <row r="240" spans="1:31" ht="17">
      <c r="A240" s="4" t="s">
        <v>7</v>
      </c>
      <c r="B240" s="2" t="s">
        <v>262</v>
      </c>
      <c r="C240" s="25" t="s">
        <v>15</v>
      </c>
      <c r="D240" s="8"/>
      <c r="E240" s="8" t="s">
        <v>298</v>
      </c>
      <c r="F240" s="4"/>
      <c r="G240" s="4"/>
      <c r="H240" s="4"/>
      <c r="I240" s="4"/>
      <c r="J240" s="4"/>
      <c r="K240" s="8"/>
      <c r="L240" s="8"/>
      <c r="M240" s="8"/>
      <c r="N240" s="8"/>
      <c r="O240" s="8"/>
      <c r="P240" s="8"/>
      <c r="Q240" s="8"/>
      <c r="R240" s="8"/>
      <c r="S240" s="10"/>
      <c r="T240" s="10"/>
      <c r="U240" s="10"/>
      <c r="V240" s="10"/>
      <c r="W240" s="10"/>
      <c r="X240" s="10"/>
      <c r="Y240" s="10"/>
      <c r="Z240" s="10"/>
      <c r="AA240" s="10"/>
      <c r="AB240" s="10"/>
      <c r="AC240" s="8"/>
      <c r="AD240" s="8"/>
      <c r="AE240" s="8"/>
    </row>
    <row r="241" spans="1:31" ht="17">
      <c r="A241" s="4" t="s">
        <v>7</v>
      </c>
      <c r="B241" s="2" t="s">
        <v>263</v>
      </c>
      <c r="C241" s="25" t="s">
        <v>15</v>
      </c>
      <c r="D241" s="8"/>
      <c r="E241" s="8" t="s">
        <v>298</v>
      </c>
      <c r="F241" s="4"/>
      <c r="G241" s="4"/>
      <c r="H241" s="4"/>
      <c r="I241" s="4"/>
      <c r="J241" s="4"/>
      <c r="K241" s="8"/>
      <c r="L241" s="8"/>
      <c r="M241" s="8"/>
      <c r="N241" s="8"/>
      <c r="O241" s="8"/>
      <c r="P241" s="8"/>
      <c r="Q241" s="8"/>
      <c r="R241" s="8"/>
      <c r="S241" s="10"/>
      <c r="T241" s="10"/>
      <c r="U241" s="10"/>
      <c r="V241" s="10"/>
      <c r="W241" s="10"/>
      <c r="X241" s="10"/>
      <c r="Y241" s="10"/>
      <c r="Z241" s="10"/>
      <c r="AA241" s="10"/>
      <c r="AB241" s="10"/>
      <c r="AC241" s="8"/>
      <c r="AD241" s="8"/>
      <c r="AE241" s="8"/>
    </row>
    <row r="242" spans="1:31" ht="255">
      <c r="A242" s="4" t="s">
        <v>7</v>
      </c>
      <c r="B242" s="2" t="s">
        <v>264</v>
      </c>
      <c r="C242" s="23" t="s">
        <v>14</v>
      </c>
      <c r="D242" s="23" t="s">
        <v>14</v>
      </c>
      <c r="E242" s="8" t="s">
        <v>65</v>
      </c>
      <c r="F242" s="4">
        <v>0</v>
      </c>
      <c r="G242" s="4">
        <v>0</v>
      </c>
      <c r="H242" s="4">
        <v>1</v>
      </c>
      <c r="I242" s="4">
        <v>0</v>
      </c>
      <c r="J242" s="4" t="s">
        <v>344</v>
      </c>
      <c r="K242" s="8" t="s">
        <v>23</v>
      </c>
      <c r="L242" s="8">
        <v>1</v>
      </c>
      <c r="M242" s="8">
        <v>1</v>
      </c>
      <c r="N242" s="8" t="s">
        <v>955</v>
      </c>
      <c r="O242" s="8">
        <v>1</v>
      </c>
      <c r="P242" s="8">
        <v>2711</v>
      </c>
      <c r="Q242" s="8" t="s">
        <v>362</v>
      </c>
      <c r="R242" s="8" t="s">
        <v>908</v>
      </c>
      <c r="S242" s="10" t="s">
        <v>956</v>
      </c>
      <c r="T242" s="10" t="s">
        <v>957</v>
      </c>
      <c r="U242" s="10" t="s">
        <v>393</v>
      </c>
      <c r="V242" s="10" t="s">
        <v>339</v>
      </c>
      <c r="W242" s="10" t="s">
        <v>958</v>
      </c>
      <c r="X242" s="10" t="s">
        <v>959</v>
      </c>
      <c r="Y242" s="10">
        <v>0</v>
      </c>
      <c r="Z242" s="10"/>
      <c r="AA242" s="10" t="s">
        <v>65</v>
      </c>
      <c r="AB242" s="10" t="s">
        <v>65</v>
      </c>
      <c r="AC242" s="8"/>
      <c r="AD242" s="28" t="s">
        <v>830</v>
      </c>
      <c r="AE242" s="8" t="s">
        <v>829</v>
      </c>
    </row>
    <row r="243" spans="1:31" ht="17">
      <c r="A243" s="4" t="s">
        <v>7</v>
      </c>
      <c r="B243" s="2" t="s">
        <v>265</v>
      </c>
      <c r="C243" s="25" t="s">
        <v>15</v>
      </c>
      <c r="D243" s="8"/>
      <c r="E243" s="8" t="s">
        <v>294</v>
      </c>
      <c r="F243" s="4"/>
      <c r="G243" s="4"/>
      <c r="H243" s="4"/>
      <c r="I243" s="4"/>
      <c r="J243" s="4"/>
      <c r="K243" s="8"/>
      <c r="L243" s="8"/>
      <c r="M243" s="8"/>
      <c r="N243" s="8"/>
      <c r="O243" s="8"/>
      <c r="P243" s="8"/>
      <c r="Q243" s="8"/>
      <c r="R243" s="8"/>
      <c r="S243" s="10"/>
      <c r="T243" s="11"/>
      <c r="U243" s="11"/>
      <c r="V243" s="10"/>
      <c r="W243" s="10"/>
      <c r="X243" s="10"/>
      <c r="Y243" s="10"/>
      <c r="Z243" s="10"/>
      <c r="AA243" s="10"/>
      <c r="AB243" s="10"/>
      <c r="AC243" s="8"/>
      <c r="AD243" s="16"/>
      <c r="AE243" s="17"/>
    </row>
    <row r="244" spans="1:31" ht="17">
      <c r="A244" s="4" t="s">
        <v>7</v>
      </c>
      <c r="B244" s="2" t="s">
        <v>266</v>
      </c>
      <c r="C244" s="25" t="s">
        <v>15</v>
      </c>
      <c r="D244" s="7"/>
      <c r="E244" s="8" t="s">
        <v>337</v>
      </c>
      <c r="F244" s="4"/>
      <c r="G244" s="4"/>
      <c r="H244" s="4"/>
      <c r="I244" s="4"/>
      <c r="J244" s="4"/>
      <c r="K244" s="8"/>
      <c r="L244" s="8"/>
      <c r="M244" s="8"/>
      <c r="N244" s="8"/>
      <c r="O244" s="8"/>
      <c r="P244" s="8"/>
      <c r="Q244" s="8"/>
      <c r="R244" s="8"/>
      <c r="S244" s="10"/>
      <c r="T244" s="11"/>
      <c r="U244" s="11"/>
      <c r="V244" s="10"/>
      <c r="W244" s="10"/>
      <c r="X244" s="10"/>
      <c r="Y244" s="10"/>
      <c r="Z244" s="10"/>
      <c r="AA244" s="10"/>
      <c r="AB244" s="10"/>
      <c r="AC244" s="8"/>
      <c r="AD244" s="28"/>
      <c r="AE244" s="8"/>
    </row>
    <row r="245" spans="1:31" ht="255">
      <c r="A245" s="4" t="s">
        <v>7</v>
      </c>
      <c r="B245" s="2" t="s">
        <v>267</v>
      </c>
      <c r="C245" s="23" t="s">
        <v>14</v>
      </c>
      <c r="D245" s="23" t="s">
        <v>14</v>
      </c>
      <c r="E245" s="8" t="s">
        <v>65</v>
      </c>
      <c r="F245" s="4">
        <v>1</v>
      </c>
      <c r="G245" s="4">
        <v>0</v>
      </c>
      <c r="H245" s="33">
        <v>0</v>
      </c>
      <c r="I245" s="4">
        <v>0</v>
      </c>
      <c r="J245" s="4" t="s">
        <v>405</v>
      </c>
      <c r="K245" s="8" t="s">
        <v>23</v>
      </c>
      <c r="L245" s="8">
        <v>0</v>
      </c>
      <c r="M245" s="8">
        <v>0</v>
      </c>
      <c r="N245" s="8" t="s">
        <v>65</v>
      </c>
      <c r="O245" s="8">
        <v>0</v>
      </c>
      <c r="P245" s="8">
        <v>162</v>
      </c>
      <c r="Q245" s="8" t="s">
        <v>739</v>
      </c>
      <c r="R245" s="8" t="s">
        <v>420</v>
      </c>
      <c r="S245" s="10" t="s">
        <v>65</v>
      </c>
      <c r="T245" s="10" t="s">
        <v>960</v>
      </c>
      <c r="U245" s="10" t="s">
        <v>361</v>
      </c>
      <c r="V245" s="10" t="s">
        <v>65</v>
      </c>
      <c r="W245" s="10" t="s">
        <v>961</v>
      </c>
      <c r="X245" s="10" t="s">
        <v>65</v>
      </c>
      <c r="Y245" s="10">
        <v>0</v>
      </c>
      <c r="Z245" s="10"/>
      <c r="AA245" s="10" t="s">
        <v>65</v>
      </c>
      <c r="AB245" s="10" t="s">
        <v>65</v>
      </c>
      <c r="AC245" s="8"/>
      <c r="AD245" s="28" t="s">
        <v>832</v>
      </c>
      <c r="AE245" s="8" t="s">
        <v>831</v>
      </c>
    </row>
    <row r="246" spans="1:31" ht="17">
      <c r="A246" s="4" t="s">
        <v>7</v>
      </c>
      <c r="B246" s="2" t="s">
        <v>268</v>
      </c>
      <c r="C246" s="25" t="s">
        <v>15</v>
      </c>
      <c r="D246" s="8"/>
      <c r="E246" s="8" t="s">
        <v>298</v>
      </c>
      <c r="F246" s="4"/>
      <c r="G246" s="4"/>
      <c r="H246" s="4"/>
      <c r="I246" s="4"/>
      <c r="J246" s="4"/>
      <c r="K246" s="8"/>
      <c r="L246" s="8"/>
      <c r="M246" s="8"/>
      <c r="N246" s="8"/>
      <c r="O246" s="8"/>
      <c r="P246" s="8"/>
      <c r="Q246" s="8"/>
      <c r="R246" s="8"/>
      <c r="S246" s="10"/>
      <c r="T246" s="10"/>
      <c r="U246" s="10"/>
      <c r="V246" s="10"/>
      <c r="W246" s="10"/>
      <c r="X246" s="10"/>
      <c r="Y246" s="10"/>
      <c r="Z246" s="10"/>
      <c r="AA246" s="10"/>
      <c r="AB246" s="10"/>
      <c r="AC246" s="8"/>
      <c r="AD246" s="8"/>
      <c r="AE246" s="8"/>
    </row>
    <row r="247" spans="1:31" ht="17">
      <c r="A247" s="4" t="s">
        <v>7</v>
      </c>
      <c r="B247" s="2" t="s">
        <v>269</v>
      </c>
      <c r="C247" s="8" t="s">
        <v>290</v>
      </c>
      <c r="D247" s="8"/>
      <c r="E247" s="8" t="s">
        <v>290</v>
      </c>
      <c r="F247" s="12"/>
      <c r="G247" s="12"/>
      <c r="H247" s="12"/>
      <c r="I247" s="12"/>
      <c r="J247" s="4"/>
      <c r="K247" s="8"/>
      <c r="L247" s="8"/>
      <c r="M247" s="8"/>
      <c r="N247" s="8"/>
      <c r="O247" s="8"/>
      <c r="P247" s="8"/>
      <c r="Q247" s="8"/>
      <c r="R247" s="8"/>
      <c r="S247" s="10"/>
      <c r="T247" s="10"/>
      <c r="U247" s="10"/>
      <c r="V247" s="10"/>
      <c r="W247" s="10"/>
      <c r="X247" s="10"/>
      <c r="Y247" s="10"/>
      <c r="Z247" s="10"/>
      <c r="AA247" s="10"/>
      <c r="AB247" s="10"/>
      <c r="AC247" s="8"/>
      <c r="AD247" s="28"/>
      <c r="AE247" s="8"/>
    </row>
    <row r="248" spans="1:31" ht="272">
      <c r="A248" s="4" t="s">
        <v>7</v>
      </c>
      <c r="B248" s="2" t="s">
        <v>242</v>
      </c>
      <c r="C248" s="23" t="s">
        <v>14</v>
      </c>
      <c r="D248" s="23" t="s">
        <v>14</v>
      </c>
      <c r="E248" s="8" t="s">
        <v>65</v>
      </c>
      <c r="F248" s="4">
        <v>0</v>
      </c>
      <c r="G248" s="4">
        <v>0</v>
      </c>
      <c r="H248" s="4">
        <v>1</v>
      </c>
      <c r="I248" s="4">
        <v>0</v>
      </c>
      <c r="J248" s="4" t="s">
        <v>344</v>
      </c>
      <c r="K248" s="8" t="s">
        <v>23</v>
      </c>
      <c r="L248" s="8">
        <v>1</v>
      </c>
      <c r="M248" s="8">
        <v>1</v>
      </c>
      <c r="N248" s="8" t="s">
        <v>955</v>
      </c>
      <c r="O248" s="8">
        <v>1</v>
      </c>
      <c r="P248" s="8">
        <v>2711</v>
      </c>
      <c r="Q248" s="8" t="s">
        <v>362</v>
      </c>
      <c r="R248" s="8" t="s">
        <v>970</v>
      </c>
      <c r="S248" s="10" t="s">
        <v>65</v>
      </c>
      <c r="T248" s="10" t="s">
        <v>968</v>
      </c>
      <c r="U248" s="10" t="s">
        <v>512</v>
      </c>
      <c r="V248" s="10" t="s">
        <v>339</v>
      </c>
      <c r="W248" s="10" t="s">
        <v>969</v>
      </c>
      <c r="X248" s="10" t="s">
        <v>65</v>
      </c>
      <c r="Y248" s="10">
        <v>0</v>
      </c>
      <c r="Z248" s="10"/>
      <c r="AA248" s="10" t="s">
        <v>65</v>
      </c>
      <c r="AB248" s="10" t="s">
        <v>65</v>
      </c>
      <c r="AC248" s="8"/>
      <c r="AD248" s="28" t="s">
        <v>879</v>
      </c>
      <c r="AE248" s="8" t="s">
        <v>962</v>
      </c>
    </row>
    <row r="249" spans="1:31" ht="356">
      <c r="A249" s="4" t="s">
        <v>7</v>
      </c>
      <c r="B249" s="2" t="s">
        <v>270</v>
      </c>
      <c r="C249" s="23" t="s">
        <v>14</v>
      </c>
      <c r="D249" s="23" t="s">
        <v>14</v>
      </c>
      <c r="E249" s="8" t="s">
        <v>65</v>
      </c>
      <c r="F249" s="4">
        <v>0</v>
      </c>
      <c r="G249" s="4">
        <v>0</v>
      </c>
      <c r="H249" s="4">
        <v>1</v>
      </c>
      <c r="I249" s="4">
        <v>0</v>
      </c>
      <c r="J249" s="4" t="s">
        <v>344</v>
      </c>
      <c r="K249" s="8" t="s">
        <v>23</v>
      </c>
      <c r="L249" s="8">
        <v>0</v>
      </c>
      <c r="M249" s="8">
        <v>1</v>
      </c>
      <c r="N249" s="8" t="s">
        <v>65</v>
      </c>
      <c r="O249" s="8" t="s">
        <v>65</v>
      </c>
      <c r="P249" s="8">
        <v>10030</v>
      </c>
      <c r="Q249" s="8" t="s">
        <v>356</v>
      </c>
      <c r="R249" s="8" t="s">
        <v>357</v>
      </c>
      <c r="S249" s="10" t="s">
        <v>358</v>
      </c>
      <c r="T249" s="10" t="s">
        <v>359</v>
      </c>
      <c r="U249" s="10" t="s">
        <v>361</v>
      </c>
      <c r="V249" s="10" t="s">
        <v>65</v>
      </c>
      <c r="W249" s="10" t="s">
        <v>360</v>
      </c>
      <c r="X249" s="10" t="s">
        <v>65</v>
      </c>
      <c r="Y249" s="10">
        <v>1</v>
      </c>
      <c r="Z249" s="10" t="s">
        <v>682</v>
      </c>
      <c r="AA249" s="10" t="s">
        <v>723</v>
      </c>
      <c r="AB249" s="10" t="s">
        <v>723</v>
      </c>
      <c r="AC249" s="8"/>
      <c r="AD249" s="8"/>
      <c r="AE249" s="8" t="s">
        <v>391</v>
      </c>
    </row>
    <row r="250" spans="1:31" ht="272">
      <c r="A250" s="4" t="s">
        <v>7</v>
      </c>
      <c r="B250" s="2" t="s">
        <v>1050</v>
      </c>
      <c r="C250" s="23" t="s">
        <v>14</v>
      </c>
      <c r="D250" s="23" t="s">
        <v>14</v>
      </c>
      <c r="E250" s="8" t="s">
        <v>65</v>
      </c>
      <c r="F250" s="4">
        <v>0</v>
      </c>
      <c r="G250" s="4">
        <v>1</v>
      </c>
      <c r="H250" s="4">
        <v>0</v>
      </c>
      <c r="I250" s="4">
        <v>0</v>
      </c>
      <c r="J250" s="4" t="s">
        <v>344</v>
      </c>
      <c r="K250" s="8" t="s">
        <v>23</v>
      </c>
      <c r="L250" s="8">
        <v>0</v>
      </c>
      <c r="M250" s="8">
        <v>0</v>
      </c>
      <c r="N250" s="8" t="s">
        <v>65</v>
      </c>
      <c r="O250" s="8">
        <v>1</v>
      </c>
      <c r="P250" s="8">
        <v>435</v>
      </c>
      <c r="Q250" s="8" t="s">
        <v>356</v>
      </c>
      <c r="R250" s="8" t="s">
        <v>368</v>
      </c>
      <c r="S250" s="4" t="s">
        <v>65</v>
      </c>
      <c r="T250" s="4" t="s">
        <v>973</v>
      </c>
      <c r="U250" s="4" t="s">
        <v>974</v>
      </c>
      <c r="V250" s="4" t="s">
        <v>923</v>
      </c>
      <c r="W250" s="4" t="s">
        <v>976</v>
      </c>
      <c r="X250" s="4" t="s">
        <v>975</v>
      </c>
      <c r="Y250" s="4">
        <v>1</v>
      </c>
      <c r="Z250" s="4" t="s">
        <v>682</v>
      </c>
      <c r="AA250" s="10" t="s">
        <v>723</v>
      </c>
      <c r="AB250" s="10" t="s">
        <v>723</v>
      </c>
      <c r="AC250" s="8"/>
      <c r="AD250" s="28" t="s">
        <v>880</v>
      </c>
      <c r="AE250" s="8" t="s">
        <v>963</v>
      </c>
    </row>
    <row r="251" spans="1:31" ht="17">
      <c r="A251" s="4" t="s">
        <v>7</v>
      </c>
      <c r="B251" s="2" t="s">
        <v>271</v>
      </c>
      <c r="C251" s="25" t="s">
        <v>15</v>
      </c>
      <c r="D251" s="8"/>
      <c r="E251" s="8" t="s">
        <v>294</v>
      </c>
      <c r="F251" s="4"/>
      <c r="G251" s="4"/>
      <c r="H251" s="4"/>
      <c r="I251" s="4"/>
      <c r="J251" s="4"/>
      <c r="K251" s="8"/>
      <c r="L251" s="8"/>
      <c r="M251" s="8"/>
      <c r="N251" s="8"/>
      <c r="O251" s="8"/>
      <c r="P251" s="8"/>
      <c r="Q251" s="8"/>
      <c r="R251" s="8"/>
      <c r="S251" s="4"/>
      <c r="T251" s="4"/>
      <c r="U251" s="4"/>
      <c r="V251" s="4"/>
      <c r="W251" s="4"/>
      <c r="X251" s="4"/>
      <c r="Y251" s="4"/>
      <c r="Z251" s="4"/>
      <c r="AA251" s="4"/>
      <c r="AB251" s="4"/>
      <c r="AC251" s="8"/>
      <c r="AD251" s="8"/>
      <c r="AE251" s="8"/>
    </row>
    <row r="252" spans="1:31" ht="17">
      <c r="A252" s="4" t="s">
        <v>7</v>
      </c>
      <c r="B252" s="2" t="s">
        <v>272</v>
      </c>
      <c r="C252" s="25" t="s">
        <v>15</v>
      </c>
      <c r="D252" s="8"/>
      <c r="E252" s="8" t="s">
        <v>25</v>
      </c>
      <c r="F252" s="4"/>
      <c r="G252" s="4"/>
      <c r="H252" s="4"/>
      <c r="I252" s="4"/>
      <c r="J252" s="4"/>
      <c r="K252" s="8"/>
      <c r="L252" s="8"/>
      <c r="M252" s="8"/>
      <c r="N252" s="8"/>
      <c r="O252" s="8"/>
      <c r="P252" s="8"/>
      <c r="Q252" s="8"/>
      <c r="R252" s="8"/>
      <c r="S252" s="4"/>
      <c r="T252" s="4"/>
      <c r="U252" s="4"/>
      <c r="V252" s="4"/>
      <c r="W252" s="4"/>
      <c r="X252" s="4"/>
      <c r="Y252" s="4"/>
      <c r="Z252" s="4"/>
      <c r="AA252" s="4"/>
      <c r="AB252" s="4"/>
      <c r="AC252" s="8"/>
      <c r="AD252" s="28"/>
      <c r="AE252" s="8"/>
    </row>
    <row r="253" spans="1:31" ht="17">
      <c r="A253" s="4" t="s">
        <v>7</v>
      </c>
      <c r="B253" s="2" t="s">
        <v>273</v>
      </c>
      <c r="C253" s="25" t="s">
        <v>15</v>
      </c>
      <c r="D253" s="8"/>
      <c r="E253" s="8" t="s">
        <v>298</v>
      </c>
      <c r="F253" s="4"/>
      <c r="G253" s="4"/>
      <c r="H253" s="4"/>
      <c r="I253" s="4"/>
      <c r="J253" s="4"/>
      <c r="K253" s="8"/>
      <c r="L253" s="8"/>
      <c r="M253" s="8"/>
      <c r="N253" s="8"/>
      <c r="O253" s="8"/>
      <c r="P253" s="8"/>
      <c r="Q253" s="8"/>
      <c r="R253" s="8"/>
      <c r="S253" s="4"/>
      <c r="T253" s="4"/>
      <c r="U253" s="4"/>
      <c r="V253" s="4"/>
      <c r="W253" s="4"/>
      <c r="X253" s="4"/>
      <c r="Y253" s="4"/>
      <c r="Z253" s="4"/>
      <c r="AA253" s="4"/>
      <c r="AB253" s="4"/>
      <c r="AC253" s="8"/>
      <c r="AD253" s="8"/>
      <c r="AE253" s="8"/>
    </row>
    <row r="254" spans="1:31" ht="17">
      <c r="A254" s="4" t="s">
        <v>7</v>
      </c>
      <c r="B254" s="2" t="s">
        <v>274</v>
      </c>
      <c r="C254" s="25" t="s">
        <v>15</v>
      </c>
      <c r="D254" s="8"/>
      <c r="E254" s="8" t="s">
        <v>295</v>
      </c>
      <c r="F254" s="4"/>
      <c r="G254" s="4"/>
      <c r="H254" s="4"/>
      <c r="I254" s="4"/>
      <c r="J254" s="4"/>
      <c r="K254" s="8"/>
      <c r="L254" s="8"/>
      <c r="M254" s="8"/>
      <c r="N254" s="8"/>
      <c r="O254" s="8"/>
      <c r="P254" s="8"/>
      <c r="Q254" s="8"/>
      <c r="R254" s="8"/>
      <c r="S254" s="4"/>
      <c r="T254" s="4"/>
      <c r="U254" s="4"/>
      <c r="V254" s="4"/>
      <c r="W254" s="4"/>
      <c r="X254" s="4"/>
      <c r="Y254" s="4"/>
      <c r="Z254" s="4"/>
      <c r="AA254" s="4"/>
      <c r="AB254" s="4"/>
      <c r="AC254" s="8"/>
      <c r="AD254" s="8"/>
      <c r="AE254" s="8"/>
    </row>
    <row r="255" spans="1:31" ht="17">
      <c r="A255" s="4" t="s">
        <v>7</v>
      </c>
      <c r="B255" s="2" t="s">
        <v>275</v>
      </c>
      <c r="C255" s="23" t="s">
        <v>14</v>
      </c>
      <c r="D255" s="25" t="s">
        <v>15</v>
      </c>
      <c r="E255" s="8" t="s">
        <v>337</v>
      </c>
      <c r="F255" s="4"/>
      <c r="G255" s="4"/>
      <c r="H255" s="4"/>
      <c r="I255" s="4"/>
      <c r="J255" s="4"/>
      <c r="K255" s="8"/>
      <c r="L255" s="8"/>
      <c r="M255" s="8"/>
      <c r="N255" s="8"/>
      <c r="O255" s="8"/>
      <c r="P255" s="8"/>
      <c r="Q255" s="8"/>
      <c r="R255" s="8"/>
      <c r="S255" s="4"/>
      <c r="T255" s="4"/>
      <c r="U255" s="4"/>
      <c r="V255" s="4"/>
      <c r="W255" s="4"/>
      <c r="X255" s="4"/>
      <c r="Y255" s="4"/>
      <c r="Z255" s="4"/>
      <c r="AA255" s="4"/>
      <c r="AB255" s="4"/>
      <c r="AC255" s="8"/>
      <c r="AD255" s="28"/>
      <c r="AE255" s="8"/>
    </row>
    <row r="256" spans="1:31" ht="17">
      <c r="A256" s="4" t="s">
        <v>7</v>
      </c>
      <c r="B256" s="2" t="s">
        <v>276</v>
      </c>
      <c r="C256" s="25" t="s">
        <v>15</v>
      </c>
      <c r="D256" s="8"/>
      <c r="E256" s="8" t="s">
        <v>298</v>
      </c>
      <c r="F256" s="4"/>
      <c r="G256" s="4"/>
      <c r="H256" s="4"/>
      <c r="I256" s="4"/>
      <c r="J256" s="4"/>
      <c r="K256" s="8"/>
      <c r="L256" s="8"/>
      <c r="M256" s="8"/>
      <c r="N256" s="8"/>
      <c r="O256" s="8"/>
      <c r="P256" s="8"/>
      <c r="Q256" s="8"/>
      <c r="R256" s="8"/>
      <c r="S256" s="4"/>
      <c r="T256" s="4"/>
      <c r="U256" s="4"/>
      <c r="V256" s="4"/>
      <c r="W256" s="4"/>
      <c r="X256" s="4"/>
      <c r="Y256" s="4"/>
      <c r="Z256" s="4"/>
      <c r="AA256" s="4"/>
      <c r="AB256" s="4"/>
      <c r="AC256" s="8"/>
      <c r="AD256" s="8"/>
      <c r="AE256" s="8"/>
    </row>
    <row r="257" spans="1:31" ht="17">
      <c r="A257" s="4" t="s">
        <v>7</v>
      </c>
      <c r="B257" s="2" t="s">
        <v>277</v>
      </c>
      <c r="C257" s="25" t="s">
        <v>15</v>
      </c>
      <c r="D257" s="8"/>
      <c r="E257" s="8" t="s">
        <v>298</v>
      </c>
      <c r="F257" s="4"/>
      <c r="G257" s="4"/>
      <c r="H257" s="4"/>
      <c r="I257" s="4"/>
      <c r="J257" s="4"/>
      <c r="K257" s="8"/>
      <c r="L257" s="8"/>
      <c r="M257" s="8"/>
      <c r="N257" s="8"/>
      <c r="O257" s="8"/>
      <c r="P257" s="8"/>
      <c r="Q257" s="8"/>
      <c r="R257" s="8"/>
      <c r="S257" s="4"/>
      <c r="T257" s="4"/>
      <c r="U257" s="4"/>
      <c r="V257" s="4"/>
      <c r="W257" s="4"/>
      <c r="X257" s="4"/>
      <c r="Y257" s="4"/>
      <c r="Z257" s="4"/>
      <c r="AA257" s="4"/>
      <c r="AB257" s="4"/>
      <c r="AC257" s="8"/>
      <c r="AD257" s="8"/>
      <c r="AE257" s="8"/>
    </row>
    <row r="258" spans="1:31" ht="289">
      <c r="A258" s="4" t="s">
        <v>7</v>
      </c>
      <c r="B258" s="2" t="s">
        <v>278</v>
      </c>
      <c r="C258" s="23" t="s">
        <v>14</v>
      </c>
      <c r="D258" s="23" t="s">
        <v>14</v>
      </c>
      <c r="E258" s="8" t="s">
        <v>65</v>
      </c>
      <c r="F258" s="4">
        <v>0</v>
      </c>
      <c r="G258" s="4">
        <v>1</v>
      </c>
      <c r="H258" s="4">
        <v>0</v>
      </c>
      <c r="I258" s="4">
        <v>0</v>
      </c>
      <c r="J258" s="4" t="s">
        <v>344</v>
      </c>
      <c r="K258" s="8" t="s">
        <v>23</v>
      </c>
      <c r="L258" s="8">
        <v>0</v>
      </c>
      <c r="M258" s="8">
        <v>0</v>
      </c>
      <c r="N258" s="8" t="s">
        <v>65</v>
      </c>
      <c r="O258" s="8">
        <v>1</v>
      </c>
      <c r="P258" s="8">
        <v>105</v>
      </c>
      <c r="Q258" s="8" t="s">
        <v>362</v>
      </c>
      <c r="R258" s="8" t="s">
        <v>1015</v>
      </c>
      <c r="S258" s="4" t="s">
        <v>65</v>
      </c>
      <c r="T258" s="4" t="s">
        <v>1013</v>
      </c>
      <c r="U258" s="4" t="s">
        <v>65</v>
      </c>
      <c r="V258" s="4" t="s">
        <v>65</v>
      </c>
      <c r="W258" s="4" t="s">
        <v>1014</v>
      </c>
      <c r="X258" s="4">
        <v>0</v>
      </c>
      <c r="Y258" s="4">
        <v>0</v>
      </c>
      <c r="Z258" s="4"/>
      <c r="AA258" s="4" t="s">
        <v>65</v>
      </c>
      <c r="AB258" s="4" t="s">
        <v>65</v>
      </c>
      <c r="AC258" s="8"/>
      <c r="AD258" s="28" t="s">
        <v>881</v>
      </c>
      <c r="AE258" s="8" t="s">
        <v>964</v>
      </c>
    </row>
    <row r="259" spans="1:31" ht="17">
      <c r="A259" s="4" t="s">
        <v>7</v>
      </c>
      <c r="B259" s="2" t="s">
        <v>279</v>
      </c>
      <c r="C259" s="25" t="s">
        <v>15</v>
      </c>
      <c r="D259" s="8"/>
      <c r="E259" s="8" t="s">
        <v>298</v>
      </c>
      <c r="F259" s="4"/>
      <c r="G259" s="4"/>
      <c r="H259" s="4"/>
      <c r="I259" s="4"/>
      <c r="J259" s="4"/>
      <c r="K259" s="8"/>
      <c r="L259" s="8"/>
      <c r="M259" s="8"/>
      <c r="N259" s="8"/>
      <c r="O259" s="8"/>
      <c r="P259" s="8"/>
      <c r="Q259" s="8"/>
      <c r="R259" s="8"/>
      <c r="S259" s="4"/>
      <c r="T259" s="4"/>
      <c r="U259" s="4"/>
      <c r="V259" s="4"/>
      <c r="W259" s="4"/>
      <c r="X259" s="4"/>
      <c r="Y259" s="4"/>
      <c r="Z259" s="4"/>
      <c r="AA259" s="4"/>
      <c r="AB259" s="4"/>
      <c r="AC259" s="8"/>
      <c r="AD259" s="8"/>
      <c r="AE259" s="8"/>
    </row>
    <row r="260" spans="1:31" ht="238">
      <c r="A260" s="4" t="s">
        <v>7</v>
      </c>
      <c r="B260" s="2" t="s">
        <v>827</v>
      </c>
      <c r="C260" s="23" t="s">
        <v>14</v>
      </c>
      <c r="D260" s="23" t="s">
        <v>14</v>
      </c>
      <c r="E260" s="8" t="s">
        <v>65</v>
      </c>
      <c r="F260" s="4">
        <v>0</v>
      </c>
      <c r="G260" s="4">
        <v>0</v>
      </c>
      <c r="H260" s="4">
        <v>1</v>
      </c>
      <c r="I260" s="4">
        <v>0</v>
      </c>
      <c r="J260" s="4" t="s">
        <v>344</v>
      </c>
      <c r="K260" s="8" t="s">
        <v>23</v>
      </c>
      <c r="L260" s="8">
        <v>0</v>
      </c>
      <c r="M260" s="8">
        <v>1</v>
      </c>
      <c r="N260" s="8" t="s">
        <v>65</v>
      </c>
      <c r="O260" s="8">
        <v>1</v>
      </c>
      <c r="P260" s="8">
        <v>9747</v>
      </c>
      <c r="Q260" s="8" t="s">
        <v>648</v>
      </c>
      <c r="R260" s="8" t="s">
        <v>979</v>
      </c>
      <c r="S260" s="4" t="s">
        <v>65</v>
      </c>
      <c r="T260" s="4" t="s">
        <v>1075</v>
      </c>
      <c r="U260" s="4" t="s">
        <v>393</v>
      </c>
      <c r="V260" s="4" t="s">
        <v>339</v>
      </c>
      <c r="W260" s="4" t="s">
        <v>977</v>
      </c>
      <c r="X260" s="4" t="s">
        <v>978</v>
      </c>
      <c r="Y260" s="4">
        <v>0</v>
      </c>
      <c r="Z260" s="4"/>
      <c r="AA260" s="4" t="s">
        <v>65</v>
      </c>
      <c r="AB260" s="4" t="s">
        <v>65</v>
      </c>
      <c r="AC260" s="8"/>
      <c r="AD260" s="28" t="s">
        <v>826</v>
      </c>
      <c r="AE260" s="8" t="s">
        <v>828</v>
      </c>
    </row>
    <row r="261" spans="1:31" ht="289">
      <c r="A261" s="4" t="s">
        <v>7</v>
      </c>
      <c r="B261" s="2" t="s">
        <v>280</v>
      </c>
      <c r="C261" s="23" t="s">
        <v>14</v>
      </c>
      <c r="D261" s="23" t="s">
        <v>14</v>
      </c>
      <c r="E261" s="8" t="s">
        <v>65</v>
      </c>
      <c r="F261" s="4">
        <v>0</v>
      </c>
      <c r="G261" s="4">
        <v>0</v>
      </c>
      <c r="H261" s="4">
        <v>1</v>
      </c>
      <c r="I261" s="4">
        <v>0</v>
      </c>
      <c r="J261" s="4" t="s">
        <v>374</v>
      </c>
      <c r="K261" s="8" t="s">
        <v>23</v>
      </c>
      <c r="L261" s="8">
        <v>1</v>
      </c>
      <c r="M261" s="8">
        <v>1</v>
      </c>
      <c r="N261" s="8" t="s">
        <v>375</v>
      </c>
      <c r="O261" s="8" t="s">
        <v>65</v>
      </c>
      <c r="P261" s="8">
        <v>82197</v>
      </c>
      <c r="Q261" s="8" t="s">
        <v>362</v>
      </c>
      <c r="R261" s="8" t="s">
        <v>357</v>
      </c>
      <c r="S261" s="4" t="s">
        <v>373</v>
      </c>
      <c r="T261" s="4" t="s">
        <v>371</v>
      </c>
      <c r="U261" s="4" t="s">
        <v>372</v>
      </c>
      <c r="V261" s="4" t="s">
        <v>65</v>
      </c>
      <c r="W261" s="4" t="s">
        <v>376</v>
      </c>
      <c r="X261" s="4" t="s">
        <v>65</v>
      </c>
      <c r="Y261" s="4">
        <v>0</v>
      </c>
      <c r="Z261" s="4"/>
      <c r="AA261" s="4" t="s">
        <v>65</v>
      </c>
      <c r="AB261" s="4" t="s">
        <v>65</v>
      </c>
      <c r="AC261" s="28"/>
      <c r="AD261" s="28" t="s">
        <v>377</v>
      </c>
      <c r="AE261" s="8" t="s">
        <v>370</v>
      </c>
    </row>
    <row r="262" spans="1:31" ht="17">
      <c r="A262" s="4" t="s">
        <v>7</v>
      </c>
      <c r="B262" s="2" t="s">
        <v>281</v>
      </c>
      <c r="C262" s="25" t="s">
        <v>15</v>
      </c>
      <c r="D262" s="8"/>
      <c r="E262" s="8" t="s">
        <v>298</v>
      </c>
      <c r="F262" s="4"/>
      <c r="G262" s="4"/>
      <c r="H262" s="4"/>
      <c r="I262" s="4"/>
      <c r="J262" s="4"/>
      <c r="K262" s="8"/>
      <c r="L262" s="8"/>
      <c r="M262" s="8"/>
      <c r="N262" s="8"/>
      <c r="O262" s="8"/>
      <c r="P262" s="8"/>
      <c r="Q262" s="8"/>
      <c r="R262" s="8"/>
      <c r="S262" s="4"/>
      <c r="T262" s="4"/>
      <c r="U262" s="4"/>
      <c r="V262" s="4"/>
      <c r="W262" s="4"/>
      <c r="X262" s="4"/>
      <c r="Y262" s="4"/>
      <c r="Z262" s="4"/>
      <c r="AA262" s="4"/>
      <c r="AB262" s="4"/>
      <c r="AC262" s="8"/>
      <c r="AD262" s="8"/>
      <c r="AE262" s="8"/>
    </row>
    <row r="263" spans="1:31" ht="17">
      <c r="A263" s="4" t="s">
        <v>7</v>
      </c>
      <c r="B263" s="2" t="s">
        <v>282</v>
      </c>
      <c r="C263" s="25" t="s">
        <v>15</v>
      </c>
      <c r="D263" s="8"/>
      <c r="E263" s="8" t="s">
        <v>298</v>
      </c>
      <c r="F263" s="4"/>
      <c r="G263" s="4"/>
      <c r="H263" s="4"/>
      <c r="I263" s="4"/>
      <c r="J263" s="4"/>
      <c r="K263" s="8"/>
      <c r="L263" s="8"/>
      <c r="M263" s="8"/>
      <c r="N263" s="8"/>
      <c r="O263" s="8"/>
      <c r="P263" s="8"/>
      <c r="Q263" s="8"/>
      <c r="R263" s="8"/>
      <c r="S263" s="4"/>
      <c r="T263" s="4"/>
      <c r="U263" s="4"/>
      <c r="V263" s="4"/>
      <c r="W263" s="4"/>
      <c r="X263" s="4"/>
      <c r="Y263" s="4"/>
      <c r="Z263" s="4"/>
      <c r="AA263" s="4"/>
      <c r="AB263" s="4"/>
      <c r="AC263" s="8"/>
      <c r="AD263" s="8"/>
      <c r="AE263" s="8"/>
    </row>
    <row r="264" spans="1:31" ht="17">
      <c r="A264" s="4" t="s">
        <v>7</v>
      </c>
      <c r="B264" s="2" t="s">
        <v>283</v>
      </c>
      <c r="C264" s="25" t="s">
        <v>15</v>
      </c>
      <c r="D264" s="8"/>
      <c r="E264" s="8" t="s">
        <v>298</v>
      </c>
      <c r="F264" s="4"/>
      <c r="G264" s="4"/>
      <c r="H264" s="4"/>
      <c r="I264" s="4"/>
      <c r="J264" s="4"/>
      <c r="K264" s="8"/>
      <c r="L264" s="8"/>
      <c r="M264" s="8"/>
      <c r="N264" s="8"/>
      <c r="O264" s="8"/>
      <c r="P264" s="8"/>
      <c r="Q264" s="8"/>
      <c r="R264" s="8"/>
      <c r="S264" s="4"/>
      <c r="T264" s="4"/>
      <c r="U264" s="4"/>
      <c r="V264" s="4"/>
      <c r="W264" s="4"/>
      <c r="X264" s="4"/>
      <c r="Y264" s="4"/>
      <c r="Z264" s="4"/>
      <c r="AA264" s="4"/>
      <c r="AB264" s="4"/>
      <c r="AC264" s="8"/>
      <c r="AD264" s="8"/>
      <c r="AE264" s="8"/>
    </row>
    <row r="265" spans="1:31" ht="17">
      <c r="A265" s="4" t="s">
        <v>7</v>
      </c>
      <c r="B265" s="2" t="s">
        <v>296</v>
      </c>
      <c r="C265" s="23" t="s">
        <v>14</v>
      </c>
      <c r="D265" s="25" t="s">
        <v>15</v>
      </c>
      <c r="E265" s="8" t="s">
        <v>337</v>
      </c>
      <c r="F265" s="4"/>
      <c r="G265" s="4"/>
      <c r="H265" s="4"/>
      <c r="I265" s="4"/>
      <c r="J265" s="4"/>
      <c r="K265" s="8"/>
      <c r="L265" s="8"/>
      <c r="M265" s="8"/>
      <c r="N265" s="8"/>
      <c r="O265" s="8"/>
      <c r="P265" s="8"/>
      <c r="Q265" s="8"/>
      <c r="R265" s="8"/>
      <c r="S265" s="4"/>
      <c r="T265" s="4"/>
      <c r="U265" s="4"/>
      <c r="V265" s="4"/>
      <c r="W265" s="4"/>
      <c r="X265" s="4"/>
      <c r="Y265" s="4"/>
      <c r="Z265" s="4"/>
      <c r="AA265" s="4"/>
      <c r="AB265" s="4"/>
      <c r="AC265" s="8"/>
      <c r="AD265" s="8"/>
      <c r="AE265" s="8"/>
    </row>
    <row r="266" spans="1:31" ht="255">
      <c r="A266" s="4" t="s">
        <v>10</v>
      </c>
      <c r="B266" s="2" t="s">
        <v>284</v>
      </c>
      <c r="C266" s="23" t="s">
        <v>14</v>
      </c>
      <c r="D266" s="23" t="s">
        <v>14</v>
      </c>
      <c r="E266" s="8" t="s">
        <v>65</v>
      </c>
      <c r="F266" s="4">
        <v>0</v>
      </c>
      <c r="G266" s="4">
        <v>1</v>
      </c>
      <c r="H266" s="4">
        <v>0</v>
      </c>
      <c r="I266" s="4">
        <v>0</v>
      </c>
      <c r="J266" s="4" t="s">
        <v>344</v>
      </c>
      <c r="K266" s="8" t="s">
        <v>23</v>
      </c>
      <c r="L266" s="8">
        <v>0</v>
      </c>
      <c r="M266" s="8">
        <v>0</v>
      </c>
      <c r="N266" s="8" t="s">
        <v>65</v>
      </c>
      <c r="O266" s="8" t="s">
        <v>65</v>
      </c>
      <c r="P266" s="8">
        <v>486</v>
      </c>
      <c r="Q266" s="8" t="s">
        <v>362</v>
      </c>
      <c r="R266" s="8" t="s">
        <v>368</v>
      </c>
      <c r="S266" s="4" t="s">
        <v>539</v>
      </c>
      <c r="T266" s="4" t="s">
        <v>1073</v>
      </c>
      <c r="U266" s="4" t="s">
        <v>393</v>
      </c>
      <c r="V266" s="4" t="s">
        <v>65</v>
      </c>
      <c r="W266" s="4" t="s">
        <v>980</v>
      </c>
      <c r="X266" s="4" t="s">
        <v>65</v>
      </c>
      <c r="Y266" s="4">
        <v>0</v>
      </c>
      <c r="Z266" s="4"/>
      <c r="AA266" s="4" t="s">
        <v>65</v>
      </c>
      <c r="AB266" s="4" t="s">
        <v>65</v>
      </c>
      <c r="AC266" s="8"/>
      <c r="AD266" s="28" t="s">
        <v>882</v>
      </c>
      <c r="AE266" s="8" t="s">
        <v>965</v>
      </c>
    </row>
    <row r="267" spans="1:31" ht="272">
      <c r="A267" s="4" t="s">
        <v>10</v>
      </c>
      <c r="B267" s="2" t="s">
        <v>285</v>
      </c>
      <c r="C267" s="23" t="s">
        <v>14</v>
      </c>
      <c r="D267" s="23" t="s">
        <v>14</v>
      </c>
      <c r="E267" s="8" t="s">
        <v>65</v>
      </c>
      <c r="F267" s="4">
        <v>0</v>
      </c>
      <c r="G267" s="4">
        <v>0</v>
      </c>
      <c r="H267" s="4">
        <v>0</v>
      </c>
      <c r="I267" s="4">
        <v>1</v>
      </c>
      <c r="J267" s="4" t="s">
        <v>344</v>
      </c>
      <c r="K267" s="8" t="s">
        <v>23</v>
      </c>
      <c r="L267" s="8">
        <v>0</v>
      </c>
      <c r="M267" s="8">
        <v>0</v>
      </c>
      <c r="N267" s="8" t="s">
        <v>65</v>
      </c>
      <c r="O267" s="8" t="s">
        <v>65</v>
      </c>
      <c r="P267" s="8">
        <v>9402</v>
      </c>
      <c r="Q267" s="8" t="s">
        <v>739</v>
      </c>
      <c r="R267" s="8" t="s">
        <v>705</v>
      </c>
      <c r="S267" s="4" t="s">
        <v>909</v>
      </c>
      <c r="T267" s="4" t="s">
        <v>981</v>
      </c>
      <c r="U267" s="4" t="s">
        <v>393</v>
      </c>
      <c r="V267" s="4" t="s">
        <v>339</v>
      </c>
      <c r="W267" s="4" t="s">
        <v>982</v>
      </c>
      <c r="X267" s="4" t="s">
        <v>65</v>
      </c>
      <c r="Y267" s="4">
        <v>0</v>
      </c>
      <c r="Z267" s="4"/>
      <c r="AA267" s="4" t="s">
        <v>65</v>
      </c>
      <c r="AB267" s="4" t="s">
        <v>65</v>
      </c>
      <c r="AC267" s="8"/>
      <c r="AD267" s="28" t="s">
        <v>883</v>
      </c>
      <c r="AE267" s="8" t="s">
        <v>966</v>
      </c>
    </row>
    <row r="268" spans="1:31" ht="17">
      <c r="A268" s="4" t="s">
        <v>7</v>
      </c>
      <c r="B268" s="2" t="s">
        <v>297</v>
      </c>
      <c r="C268" s="25" t="s">
        <v>15</v>
      </c>
      <c r="D268" s="8"/>
      <c r="E268" s="8" t="s">
        <v>18</v>
      </c>
      <c r="F268" s="4"/>
      <c r="G268" s="4"/>
      <c r="H268" s="4"/>
      <c r="I268" s="4"/>
      <c r="J268" s="4"/>
      <c r="K268" s="8"/>
      <c r="L268" s="8"/>
      <c r="M268" s="8"/>
      <c r="N268" s="8"/>
      <c r="O268" s="8"/>
      <c r="P268" s="8"/>
      <c r="Q268" s="8"/>
      <c r="R268" s="8"/>
      <c r="S268" s="4"/>
      <c r="T268" s="4"/>
      <c r="U268" s="4"/>
      <c r="V268" s="4"/>
      <c r="W268" s="4"/>
      <c r="X268" s="4"/>
      <c r="Y268" s="4"/>
      <c r="Z268" s="4"/>
      <c r="AA268" s="4"/>
      <c r="AB268" s="4"/>
      <c r="AC268" s="8"/>
      <c r="AD268" s="8"/>
      <c r="AE268" s="8"/>
    </row>
    <row r="269" spans="1:31" ht="221">
      <c r="A269" s="4" t="s">
        <v>7</v>
      </c>
      <c r="B269" s="2" t="s">
        <v>286</v>
      </c>
      <c r="C269" s="25" t="s">
        <v>15</v>
      </c>
      <c r="D269" s="25"/>
      <c r="E269" s="8" t="s">
        <v>65</v>
      </c>
      <c r="F269" s="4"/>
      <c r="G269" s="4"/>
      <c r="H269" s="4"/>
      <c r="I269" s="4"/>
      <c r="J269" s="4"/>
      <c r="K269" s="8"/>
      <c r="L269" s="8"/>
      <c r="M269" s="8"/>
      <c r="N269" s="8"/>
      <c r="O269" s="8"/>
      <c r="P269" s="8"/>
      <c r="Q269" s="8"/>
      <c r="R269" s="8"/>
      <c r="S269" s="4"/>
      <c r="T269" s="4"/>
      <c r="U269" s="4"/>
      <c r="V269" s="4"/>
      <c r="W269" s="4"/>
      <c r="X269" s="4"/>
      <c r="Y269" s="4"/>
      <c r="Z269" s="4"/>
      <c r="AA269" s="4"/>
      <c r="AB269" s="4"/>
      <c r="AC269" s="8"/>
      <c r="AD269" s="28" t="s">
        <v>884</v>
      </c>
      <c r="AE269" s="8" t="s">
        <v>967</v>
      </c>
    </row>
    <row r="270" spans="1:31" ht="17">
      <c r="A270" s="4" t="s">
        <v>7</v>
      </c>
      <c r="B270" s="2" t="s">
        <v>287</v>
      </c>
      <c r="C270" s="25" t="s">
        <v>15</v>
      </c>
      <c r="D270" s="8"/>
      <c r="E270" s="8" t="s">
        <v>25</v>
      </c>
      <c r="F270" s="4"/>
      <c r="G270" s="4"/>
      <c r="H270" s="4"/>
      <c r="I270" s="4"/>
      <c r="J270" s="4"/>
      <c r="K270" s="8"/>
      <c r="L270" s="8"/>
      <c r="M270" s="8"/>
      <c r="N270" s="8"/>
      <c r="O270" s="8"/>
      <c r="P270" s="8"/>
      <c r="Q270" s="8"/>
      <c r="R270" s="8"/>
      <c r="S270" s="4"/>
      <c r="T270" s="4"/>
      <c r="U270" s="4"/>
      <c r="V270" s="4"/>
      <c r="W270" s="4"/>
      <c r="X270" s="4"/>
      <c r="Y270" s="4"/>
      <c r="Z270" s="4"/>
      <c r="AA270" s="4"/>
      <c r="AB270" s="4"/>
      <c r="AC270" s="8"/>
      <c r="AD270" s="28"/>
      <c r="AE270" s="8"/>
    </row>
    <row r="271" spans="1:31" ht="17">
      <c r="A271" s="4" t="s">
        <v>10</v>
      </c>
      <c r="B271" s="2" t="s">
        <v>303</v>
      </c>
      <c r="C271" s="25" t="s">
        <v>15</v>
      </c>
      <c r="D271" s="15"/>
      <c r="E271" s="5" t="s">
        <v>298</v>
      </c>
      <c r="F271" s="4"/>
      <c r="G271" s="4"/>
      <c r="H271" s="4"/>
      <c r="I271" s="4"/>
      <c r="J271" s="4"/>
      <c r="K271" s="8"/>
      <c r="L271" s="8"/>
      <c r="M271" s="9"/>
      <c r="N271" s="9"/>
      <c r="O271" s="9"/>
      <c r="P271" s="8"/>
      <c r="Q271" s="8"/>
      <c r="R271" s="8"/>
      <c r="S271" s="10"/>
      <c r="T271" s="4"/>
      <c r="U271" s="4"/>
      <c r="V271" s="10"/>
      <c r="W271" s="10"/>
      <c r="X271" s="10"/>
      <c r="Y271" s="10"/>
      <c r="Z271" s="10"/>
      <c r="AA271" s="10"/>
      <c r="AB271" s="10"/>
      <c r="AC271" s="8"/>
      <c r="AD271" s="8"/>
      <c r="AE271" s="8"/>
    </row>
    <row r="272" spans="1:31" ht="17">
      <c r="A272" s="4" t="s">
        <v>7</v>
      </c>
      <c r="B272" s="2" t="s">
        <v>107</v>
      </c>
      <c r="C272" s="25" t="s">
        <v>15</v>
      </c>
      <c r="D272" s="15"/>
      <c r="E272" s="5" t="s">
        <v>21</v>
      </c>
      <c r="F272" s="4"/>
      <c r="G272" s="4"/>
      <c r="H272" s="4"/>
      <c r="I272" s="4"/>
      <c r="J272" s="4"/>
      <c r="K272" s="8"/>
      <c r="L272" s="8"/>
      <c r="M272" s="8"/>
      <c r="N272" s="8"/>
      <c r="O272" s="8"/>
      <c r="P272" s="8"/>
      <c r="Q272" s="8"/>
      <c r="R272" s="8"/>
      <c r="S272" s="10"/>
      <c r="T272" s="4"/>
      <c r="U272" s="4"/>
      <c r="V272" s="21"/>
      <c r="W272" s="4"/>
      <c r="X272" s="4"/>
      <c r="Y272" s="10"/>
      <c r="Z272" s="10"/>
      <c r="AA272" s="10"/>
      <c r="AB272" s="10"/>
      <c r="AC272" s="8"/>
      <c r="AD272" s="8"/>
      <c r="AE272" s="8"/>
    </row>
    <row r="273" spans="1:31" ht="17">
      <c r="A273" s="4" t="s">
        <v>10</v>
      </c>
      <c r="B273" s="2" t="s">
        <v>131</v>
      </c>
      <c r="C273" s="25" t="s">
        <v>15</v>
      </c>
      <c r="D273" s="15"/>
      <c r="E273" s="5" t="s">
        <v>298</v>
      </c>
      <c r="F273" s="4"/>
      <c r="G273" s="4"/>
      <c r="H273" s="4"/>
      <c r="I273" s="4"/>
      <c r="J273" s="4"/>
      <c r="K273" s="8"/>
      <c r="L273" s="8"/>
      <c r="M273" s="8"/>
      <c r="N273" s="8"/>
      <c r="O273" s="8"/>
      <c r="P273" s="8"/>
      <c r="Q273" s="8"/>
      <c r="R273" s="8"/>
      <c r="S273" s="10"/>
      <c r="T273" s="14"/>
      <c r="U273" s="10"/>
      <c r="V273" s="21"/>
      <c r="W273" s="10"/>
      <c r="X273" s="10"/>
      <c r="Y273" s="10"/>
      <c r="Z273" s="10"/>
      <c r="AA273" s="10"/>
      <c r="AB273" s="10"/>
      <c r="AC273" s="8"/>
      <c r="AD273" s="8"/>
      <c r="AE273" s="8"/>
    </row>
    <row r="274" spans="1:31" ht="17">
      <c r="A274" s="4" t="s">
        <v>7</v>
      </c>
      <c r="B274" s="2" t="s">
        <v>304</v>
      </c>
      <c r="C274" s="25" t="s">
        <v>15</v>
      </c>
      <c r="D274" s="15"/>
      <c r="E274" s="5" t="s">
        <v>21</v>
      </c>
      <c r="F274" s="4"/>
      <c r="G274" s="4"/>
      <c r="H274" s="4"/>
      <c r="I274" s="4"/>
      <c r="J274" s="4"/>
      <c r="K274" s="8"/>
      <c r="L274" s="8"/>
      <c r="M274" s="8"/>
      <c r="N274" s="8"/>
      <c r="O274" s="8"/>
      <c r="P274" s="8"/>
      <c r="Q274" s="8"/>
      <c r="R274" s="8"/>
      <c r="S274" s="10"/>
      <c r="T274" s="10"/>
      <c r="U274" s="10"/>
      <c r="V274" s="10"/>
      <c r="W274" s="10"/>
      <c r="X274" s="10"/>
      <c r="Y274" s="10"/>
      <c r="Z274" s="10"/>
      <c r="AA274" s="10"/>
      <c r="AB274" s="10"/>
      <c r="AC274" s="8"/>
      <c r="AD274" s="8"/>
      <c r="AE274" s="8"/>
    </row>
    <row r="275" spans="1:31" ht="17">
      <c r="A275" s="4" t="s">
        <v>10</v>
      </c>
      <c r="B275" s="2" t="s">
        <v>305</v>
      </c>
      <c r="C275" s="25" t="s">
        <v>15</v>
      </c>
      <c r="D275" s="15"/>
      <c r="E275" s="5" t="s">
        <v>298</v>
      </c>
      <c r="F275" s="4"/>
      <c r="G275" s="4"/>
      <c r="H275" s="4"/>
      <c r="I275" s="4"/>
      <c r="J275" s="4"/>
      <c r="K275" s="8"/>
      <c r="L275" s="8"/>
      <c r="M275" s="8"/>
      <c r="N275" s="8"/>
      <c r="O275" s="8"/>
      <c r="P275" s="8"/>
      <c r="Q275" s="8"/>
      <c r="R275" s="8"/>
      <c r="S275" s="10"/>
      <c r="T275" s="10"/>
      <c r="U275" s="10"/>
      <c r="V275" s="10"/>
      <c r="W275" s="10"/>
      <c r="X275" s="10"/>
      <c r="Y275" s="10"/>
      <c r="Z275" s="10"/>
      <c r="AA275" s="10"/>
      <c r="AB275" s="10"/>
      <c r="AC275" s="8"/>
      <c r="AD275" s="8"/>
      <c r="AE275" s="8"/>
    </row>
    <row r="276" spans="1:31" ht="17">
      <c r="A276" s="4" t="s">
        <v>10</v>
      </c>
      <c r="B276" s="2" t="s">
        <v>113</v>
      </c>
      <c r="C276" s="25" t="s">
        <v>15</v>
      </c>
      <c r="D276" s="8"/>
      <c r="E276" s="5" t="s">
        <v>298</v>
      </c>
      <c r="F276" s="12"/>
      <c r="G276" s="12"/>
      <c r="H276" s="12"/>
      <c r="I276" s="12"/>
      <c r="J276" s="4"/>
      <c r="K276" s="8"/>
      <c r="L276" s="8"/>
      <c r="M276" s="8"/>
      <c r="N276" s="8"/>
      <c r="O276" s="8"/>
      <c r="P276" s="8"/>
      <c r="Q276" s="8"/>
      <c r="R276" s="8"/>
      <c r="S276" s="10"/>
      <c r="T276" s="10"/>
      <c r="U276" s="10"/>
      <c r="V276" s="10"/>
      <c r="W276" s="10"/>
      <c r="X276" s="10"/>
      <c r="Y276" s="10"/>
      <c r="Z276" s="10"/>
      <c r="AA276" s="10"/>
      <c r="AB276" s="10"/>
      <c r="AC276" s="8"/>
      <c r="AD276" s="8"/>
      <c r="AE276" s="8"/>
    </row>
    <row r="277" spans="1:31" ht="17">
      <c r="A277" s="4" t="s">
        <v>7</v>
      </c>
      <c r="B277" s="2" t="s">
        <v>231</v>
      </c>
      <c r="C277" s="25" t="s">
        <v>15</v>
      </c>
      <c r="D277" s="8"/>
      <c r="E277" s="5" t="s">
        <v>21</v>
      </c>
      <c r="F277" s="4"/>
      <c r="G277" s="4"/>
      <c r="H277" s="4"/>
      <c r="I277" s="4"/>
      <c r="J277" s="4"/>
      <c r="K277" s="8"/>
      <c r="L277" s="8"/>
      <c r="M277" s="8"/>
      <c r="N277" s="8"/>
      <c r="O277" s="8"/>
      <c r="P277" s="8"/>
      <c r="Q277" s="8"/>
      <c r="R277" s="8"/>
      <c r="S277" s="10"/>
      <c r="T277" s="10"/>
      <c r="U277" s="10"/>
      <c r="V277" s="10"/>
      <c r="W277" s="10"/>
      <c r="X277" s="10"/>
      <c r="Y277" s="10"/>
      <c r="Z277" s="10"/>
      <c r="AA277" s="10"/>
      <c r="AB277" s="10"/>
      <c r="AC277" s="8"/>
      <c r="AD277" s="8"/>
      <c r="AE277" s="8"/>
    </row>
    <row r="278" spans="1:31" ht="17">
      <c r="A278" s="4" t="s">
        <v>10</v>
      </c>
      <c r="B278" s="2" t="s">
        <v>306</v>
      </c>
      <c r="C278" s="25" t="s">
        <v>15</v>
      </c>
      <c r="D278" s="8"/>
      <c r="E278" s="8" t="s">
        <v>88</v>
      </c>
      <c r="F278" s="4"/>
      <c r="G278" s="4"/>
      <c r="H278" s="4"/>
      <c r="I278" s="4"/>
      <c r="J278" s="4"/>
      <c r="K278" s="8"/>
      <c r="L278" s="8"/>
      <c r="M278" s="8"/>
      <c r="N278" s="8"/>
      <c r="O278" s="8"/>
      <c r="P278" s="8"/>
      <c r="Q278" s="8"/>
      <c r="R278" s="8"/>
      <c r="S278" s="10"/>
      <c r="T278" s="10"/>
      <c r="U278" s="10"/>
      <c r="V278" s="10"/>
      <c r="W278" s="10"/>
      <c r="X278" s="10"/>
      <c r="Y278" s="10"/>
      <c r="Z278" s="10"/>
      <c r="AA278" s="10"/>
      <c r="AB278" s="10"/>
      <c r="AC278" s="8"/>
      <c r="AD278" s="8"/>
      <c r="AE278" s="8"/>
    </row>
    <row r="279" spans="1:31" ht="255">
      <c r="A279" s="4" t="s">
        <v>10</v>
      </c>
      <c r="B279" s="2" t="s">
        <v>307</v>
      </c>
      <c r="C279" s="27" t="s">
        <v>14</v>
      </c>
      <c r="D279" s="27" t="s">
        <v>14</v>
      </c>
      <c r="E279" s="5" t="s">
        <v>65</v>
      </c>
      <c r="F279" s="4">
        <v>1</v>
      </c>
      <c r="G279" s="4">
        <v>0</v>
      </c>
      <c r="H279" s="4">
        <v>0</v>
      </c>
      <c r="I279" s="4">
        <v>0</v>
      </c>
      <c r="J279" s="4" t="s">
        <v>405</v>
      </c>
      <c r="K279" s="8" t="s">
        <v>23</v>
      </c>
      <c r="L279" s="8">
        <v>1</v>
      </c>
      <c r="M279" s="8">
        <v>1</v>
      </c>
      <c r="N279" s="8" t="s">
        <v>581</v>
      </c>
      <c r="O279" s="8" t="s">
        <v>583</v>
      </c>
      <c r="P279" s="8">
        <v>444</v>
      </c>
      <c r="Q279" s="8" t="s">
        <v>382</v>
      </c>
      <c r="R279" s="8" t="s">
        <v>471</v>
      </c>
      <c r="S279" s="10" t="s">
        <v>582</v>
      </c>
      <c r="T279" s="10" t="s">
        <v>579</v>
      </c>
      <c r="U279" s="10" t="s">
        <v>65</v>
      </c>
      <c r="V279" s="10" t="s">
        <v>65</v>
      </c>
      <c r="W279" s="10" t="s">
        <v>65</v>
      </c>
      <c r="X279" s="10" t="s">
        <v>65</v>
      </c>
      <c r="Y279" s="10">
        <v>0</v>
      </c>
      <c r="Z279" s="10"/>
      <c r="AA279" s="10" t="s">
        <v>65</v>
      </c>
      <c r="AB279" s="10" t="s">
        <v>65</v>
      </c>
      <c r="AC279" s="8"/>
      <c r="AD279" s="8" t="s">
        <v>578</v>
      </c>
      <c r="AE279" s="8" t="s">
        <v>577</v>
      </c>
    </row>
    <row r="280" spans="1:31" ht="17">
      <c r="A280" s="4" t="s">
        <v>10</v>
      </c>
      <c r="B280" s="2" t="s">
        <v>135</v>
      </c>
      <c r="C280" s="25" t="s">
        <v>15</v>
      </c>
      <c r="D280" s="8"/>
      <c r="E280" s="5" t="s">
        <v>298</v>
      </c>
      <c r="F280" s="12"/>
      <c r="G280" s="12"/>
      <c r="H280" s="12"/>
      <c r="I280" s="12"/>
      <c r="J280" s="4"/>
      <c r="K280" s="8"/>
      <c r="L280" s="8"/>
      <c r="M280" s="8"/>
      <c r="N280" s="8"/>
      <c r="O280" s="8"/>
      <c r="P280" s="8"/>
      <c r="Q280" s="8"/>
      <c r="R280" s="8"/>
      <c r="S280" s="10"/>
      <c r="T280" s="10"/>
      <c r="U280" s="10"/>
      <c r="V280" s="10"/>
      <c r="W280" s="10"/>
      <c r="X280" s="10"/>
      <c r="Y280" s="10"/>
      <c r="Z280" s="10"/>
      <c r="AA280" s="10"/>
      <c r="AB280" s="10"/>
      <c r="AC280" s="8"/>
      <c r="AD280" s="8"/>
      <c r="AE280" s="8"/>
    </row>
    <row r="281" spans="1:31" ht="17">
      <c r="A281" s="4" t="s">
        <v>10</v>
      </c>
      <c r="B281" s="2" t="s">
        <v>308</v>
      </c>
      <c r="C281" s="25" t="s">
        <v>15</v>
      </c>
      <c r="D281" s="7"/>
      <c r="E281" s="8" t="s">
        <v>18</v>
      </c>
      <c r="F281" s="4"/>
      <c r="G281" s="4"/>
      <c r="H281" s="4"/>
      <c r="I281" s="4"/>
      <c r="J281" s="4"/>
      <c r="K281" s="8"/>
      <c r="L281" s="8"/>
      <c r="M281" s="8"/>
      <c r="N281" s="8"/>
      <c r="O281" s="8"/>
      <c r="P281" s="8"/>
      <c r="Q281" s="8"/>
      <c r="R281" s="8"/>
      <c r="S281" s="10"/>
      <c r="T281" s="10"/>
      <c r="U281" s="10"/>
      <c r="V281" s="10"/>
      <c r="W281" s="10"/>
      <c r="X281" s="10"/>
      <c r="Y281" s="10"/>
      <c r="Z281" s="10"/>
      <c r="AA281" s="10"/>
      <c r="AB281" s="10"/>
      <c r="AC281" s="8"/>
      <c r="AD281" s="8"/>
      <c r="AE281" s="8"/>
    </row>
    <row r="282" spans="1:31" ht="17">
      <c r="A282" s="4" t="s">
        <v>10</v>
      </c>
      <c r="B282" s="2" t="s">
        <v>309</v>
      </c>
      <c r="C282" s="25" t="s">
        <v>15</v>
      </c>
      <c r="D282" s="8"/>
      <c r="E282" s="8" t="s">
        <v>88</v>
      </c>
      <c r="F282" s="4"/>
      <c r="G282" s="4"/>
      <c r="H282" s="4"/>
      <c r="I282" s="4"/>
      <c r="J282" s="4"/>
      <c r="K282" s="8"/>
      <c r="L282" s="8"/>
      <c r="M282" s="8"/>
      <c r="N282" s="8"/>
      <c r="O282" s="8"/>
      <c r="P282" s="8"/>
      <c r="Q282" s="8"/>
      <c r="R282" s="8"/>
      <c r="S282" s="10"/>
      <c r="T282" s="10"/>
      <c r="U282" s="10"/>
      <c r="V282" s="10"/>
      <c r="W282" s="10"/>
      <c r="X282" s="10"/>
      <c r="Y282" s="10"/>
      <c r="Z282" s="10"/>
      <c r="AA282" s="10"/>
      <c r="AB282" s="10"/>
      <c r="AC282" s="8"/>
      <c r="AD282" s="8"/>
      <c r="AE282" s="8"/>
    </row>
    <row r="283" spans="1:31" ht="17">
      <c r="A283" s="4" t="s">
        <v>7</v>
      </c>
      <c r="B283" s="2" t="s">
        <v>122</v>
      </c>
      <c r="C283" s="25" t="s">
        <v>15</v>
      </c>
      <c r="D283" s="8"/>
      <c r="E283" s="5" t="s">
        <v>21</v>
      </c>
      <c r="F283" s="4"/>
      <c r="G283" s="4"/>
      <c r="H283" s="4"/>
      <c r="I283" s="4"/>
      <c r="J283" s="4"/>
      <c r="K283" s="8"/>
      <c r="L283" s="8"/>
      <c r="M283" s="8"/>
      <c r="N283" s="8"/>
      <c r="O283" s="8"/>
      <c r="P283" s="8"/>
      <c r="Q283" s="8"/>
      <c r="R283" s="8"/>
      <c r="S283" s="10"/>
      <c r="T283" s="10"/>
      <c r="U283" s="10"/>
      <c r="V283" s="10"/>
      <c r="W283" s="10"/>
      <c r="X283" s="10"/>
      <c r="Y283" s="10"/>
      <c r="Z283" s="10"/>
      <c r="AA283" s="10"/>
      <c r="AB283" s="10"/>
      <c r="AC283" s="8"/>
      <c r="AD283" s="8"/>
      <c r="AE283" s="8"/>
    </row>
    <row r="284" spans="1:31" ht="17">
      <c r="A284" s="4" t="s">
        <v>7</v>
      </c>
      <c r="B284" s="2" t="s">
        <v>227</v>
      </c>
      <c r="C284" s="25" t="s">
        <v>15</v>
      </c>
      <c r="D284" s="8"/>
      <c r="E284" s="5" t="s">
        <v>21</v>
      </c>
      <c r="F284" s="4"/>
      <c r="G284" s="4"/>
      <c r="H284" s="4"/>
      <c r="I284" s="4"/>
      <c r="J284" s="4"/>
      <c r="K284" s="8"/>
      <c r="L284" s="8"/>
      <c r="M284" s="8"/>
      <c r="N284" s="8"/>
      <c r="O284" s="8"/>
      <c r="P284" s="8"/>
      <c r="Q284" s="8"/>
      <c r="R284" s="8"/>
      <c r="S284" s="10"/>
      <c r="T284" s="10"/>
      <c r="U284" s="10"/>
      <c r="V284" s="10"/>
      <c r="W284" s="10"/>
      <c r="X284" s="10"/>
      <c r="Y284" s="10"/>
      <c r="Z284" s="10"/>
      <c r="AA284" s="10"/>
      <c r="AB284" s="10"/>
      <c r="AC284" s="8"/>
      <c r="AD284" s="8"/>
      <c r="AE284" s="8"/>
    </row>
    <row r="285" spans="1:31" ht="17">
      <c r="A285" s="4" t="s">
        <v>7</v>
      </c>
      <c r="B285" s="2" t="s">
        <v>136</v>
      </c>
      <c r="C285" s="25" t="s">
        <v>15</v>
      </c>
      <c r="D285" s="8"/>
      <c r="E285" s="5" t="s">
        <v>21</v>
      </c>
      <c r="F285" s="4"/>
      <c r="G285" s="4"/>
      <c r="H285" s="4"/>
      <c r="I285" s="4"/>
      <c r="J285" s="4"/>
      <c r="K285" s="8"/>
      <c r="L285" s="8"/>
      <c r="M285" s="8"/>
      <c r="N285" s="8"/>
      <c r="O285" s="8"/>
      <c r="P285" s="8"/>
      <c r="Q285" s="8"/>
      <c r="R285" s="8"/>
      <c r="S285" s="10"/>
      <c r="T285" s="10"/>
      <c r="U285" s="10"/>
      <c r="V285" s="10"/>
      <c r="W285" s="10"/>
      <c r="X285" s="10"/>
      <c r="Y285" s="10"/>
      <c r="Z285" s="10"/>
      <c r="AA285" s="10"/>
      <c r="AB285" s="10"/>
      <c r="AC285" s="8"/>
      <c r="AD285" s="8"/>
      <c r="AE285" s="8"/>
    </row>
    <row r="286" spans="1:31" ht="17">
      <c r="A286" s="4" t="s">
        <v>10</v>
      </c>
      <c r="B286" s="2" t="s">
        <v>117</v>
      </c>
      <c r="C286" s="25" t="s">
        <v>15</v>
      </c>
      <c r="D286" s="13"/>
      <c r="E286" s="5" t="s">
        <v>298</v>
      </c>
      <c r="F286" s="4"/>
      <c r="G286" s="4"/>
      <c r="H286" s="4"/>
      <c r="I286" s="4"/>
      <c r="J286" s="4"/>
      <c r="K286" s="8"/>
      <c r="L286" s="8"/>
      <c r="M286" s="8"/>
      <c r="N286" s="8"/>
      <c r="O286" s="8"/>
      <c r="P286" s="8"/>
      <c r="Q286" s="8"/>
      <c r="R286" s="8"/>
      <c r="S286" s="10"/>
      <c r="T286" s="10"/>
      <c r="U286" s="10"/>
      <c r="V286" s="10"/>
      <c r="W286" s="10"/>
      <c r="X286" s="10"/>
      <c r="Y286" s="10"/>
      <c r="Z286" s="10"/>
      <c r="AA286" s="10"/>
      <c r="AB286" s="10"/>
      <c r="AC286" s="8"/>
      <c r="AD286" s="8"/>
      <c r="AE286" s="8"/>
    </row>
    <row r="287" spans="1:31" ht="17">
      <c r="A287" s="4" t="s">
        <v>10</v>
      </c>
      <c r="B287" s="2" t="s">
        <v>310</v>
      </c>
      <c r="C287" s="25" t="s">
        <v>15</v>
      </c>
      <c r="D287" s="13"/>
      <c r="E287" s="5" t="s">
        <v>298</v>
      </c>
      <c r="F287" s="4"/>
      <c r="G287" s="4"/>
      <c r="H287" s="4"/>
      <c r="I287" s="4"/>
      <c r="J287" s="4"/>
      <c r="K287" s="8"/>
      <c r="L287" s="8"/>
      <c r="M287" s="8"/>
      <c r="N287" s="8"/>
      <c r="O287" s="8"/>
      <c r="P287" s="8"/>
      <c r="Q287" s="8"/>
      <c r="R287" s="8"/>
      <c r="S287" s="10"/>
      <c r="T287" s="10"/>
      <c r="U287" s="10"/>
      <c r="V287" s="10"/>
      <c r="W287" s="10"/>
      <c r="X287" s="10"/>
      <c r="Y287" s="10"/>
      <c r="Z287" s="10"/>
      <c r="AA287" s="10"/>
      <c r="AB287" s="10"/>
      <c r="AC287" s="8"/>
      <c r="AD287" s="8"/>
      <c r="AE287" s="8"/>
    </row>
    <row r="288" spans="1:31" ht="17">
      <c r="A288" s="4" t="s">
        <v>10</v>
      </c>
      <c r="B288" s="2" t="s">
        <v>247</v>
      </c>
      <c r="C288" s="25" t="s">
        <v>15</v>
      </c>
      <c r="D288" s="13"/>
      <c r="E288" s="5" t="s">
        <v>298</v>
      </c>
      <c r="F288" s="4"/>
      <c r="G288" s="4"/>
      <c r="H288" s="4"/>
      <c r="I288" s="4"/>
      <c r="J288" s="4"/>
      <c r="K288" s="8"/>
      <c r="L288" s="8"/>
      <c r="M288" s="8"/>
      <c r="N288" s="8"/>
      <c r="O288" s="8"/>
      <c r="P288" s="8"/>
      <c r="Q288" s="8"/>
      <c r="R288" s="8"/>
      <c r="S288" s="10"/>
      <c r="T288" s="10"/>
      <c r="U288" s="10"/>
      <c r="V288" s="10"/>
      <c r="W288" s="10"/>
      <c r="X288" s="10"/>
      <c r="Y288" s="10"/>
      <c r="Z288" s="10"/>
      <c r="AA288" s="10"/>
      <c r="AB288" s="10"/>
      <c r="AC288" s="8"/>
      <c r="AD288" s="8"/>
      <c r="AE288" s="8"/>
    </row>
    <row r="289" spans="1:31" ht="17">
      <c r="A289" s="4" t="s">
        <v>7</v>
      </c>
      <c r="B289" s="2" t="s">
        <v>127</v>
      </c>
      <c r="C289" s="25" t="s">
        <v>15</v>
      </c>
      <c r="D289" s="8"/>
      <c r="E289" s="5" t="s">
        <v>21</v>
      </c>
      <c r="F289" s="4"/>
      <c r="G289" s="4"/>
      <c r="H289" s="4"/>
      <c r="I289" s="4"/>
      <c r="J289" s="4"/>
      <c r="K289" s="8"/>
      <c r="L289" s="8"/>
      <c r="M289" s="8"/>
      <c r="N289" s="8"/>
      <c r="O289" s="8"/>
      <c r="P289" s="8"/>
      <c r="Q289" s="8"/>
      <c r="R289" s="8"/>
      <c r="S289" s="10"/>
      <c r="T289" s="11"/>
      <c r="U289" s="11"/>
      <c r="V289" s="10"/>
      <c r="W289" s="10"/>
      <c r="X289" s="10"/>
      <c r="Y289" s="10"/>
      <c r="Z289" s="10"/>
      <c r="AA289" s="10"/>
      <c r="AB289" s="10"/>
      <c r="AC289" s="8"/>
      <c r="AD289" s="16"/>
      <c r="AE289" s="17"/>
    </row>
    <row r="290" spans="1:31" ht="17">
      <c r="A290" s="4" t="s">
        <v>7</v>
      </c>
      <c r="B290" s="2" t="s">
        <v>239</v>
      </c>
      <c r="C290" s="25" t="s">
        <v>15</v>
      </c>
      <c r="D290" s="8"/>
      <c r="E290" s="5" t="s">
        <v>21</v>
      </c>
      <c r="F290" s="4"/>
      <c r="G290" s="4"/>
      <c r="H290" s="4"/>
      <c r="I290" s="4"/>
      <c r="J290" s="4"/>
      <c r="K290" s="8"/>
      <c r="L290" s="8"/>
      <c r="M290" s="8"/>
      <c r="N290" s="8"/>
      <c r="O290" s="8"/>
      <c r="P290" s="8"/>
      <c r="Q290" s="8"/>
      <c r="R290" s="8"/>
      <c r="S290" s="10"/>
      <c r="T290" s="11"/>
      <c r="U290" s="11"/>
      <c r="V290" s="10"/>
      <c r="W290" s="10"/>
      <c r="X290" s="10"/>
      <c r="Y290" s="10"/>
      <c r="Z290" s="10"/>
      <c r="AA290" s="10"/>
      <c r="AB290" s="10"/>
      <c r="AC290" s="8"/>
      <c r="AD290" s="16"/>
      <c r="AE290" s="17"/>
    </row>
    <row r="291" spans="1:31" ht="17">
      <c r="A291" s="4" t="s">
        <v>7</v>
      </c>
      <c r="B291" s="2" t="s">
        <v>121</v>
      </c>
      <c r="C291" s="25" t="s">
        <v>15</v>
      </c>
      <c r="D291" s="8"/>
      <c r="E291" s="5" t="s">
        <v>21</v>
      </c>
      <c r="F291" s="4"/>
      <c r="G291" s="4"/>
      <c r="H291" s="4"/>
      <c r="I291" s="4"/>
      <c r="J291" s="4"/>
      <c r="K291" s="8"/>
      <c r="L291" s="8"/>
      <c r="M291" s="8"/>
      <c r="N291" s="8"/>
      <c r="O291" s="8"/>
      <c r="P291" s="8"/>
      <c r="Q291" s="8"/>
      <c r="R291" s="8"/>
      <c r="S291" s="10"/>
      <c r="T291" s="11"/>
      <c r="U291" s="11"/>
      <c r="V291" s="10"/>
      <c r="W291" s="10"/>
      <c r="X291" s="10"/>
      <c r="Y291" s="10"/>
      <c r="Z291" s="10"/>
      <c r="AA291" s="10"/>
      <c r="AB291" s="10"/>
      <c r="AC291" s="8"/>
      <c r="AD291" s="8"/>
      <c r="AE291" s="8"/>
    </row>
    <row r="292" spans="1:31" ht="17">
      <c r="A292" s="4" t="s">
        <v>10</v>
      </c>
      <c r="B292" s="2" t="s">
        <v>311</v>
      </c>
      <c r="C292" s="25" t="s">
        <v>15</v>
      </c>
      <c r="D292" s="13"/>
      <c r="E292" s="5" t="s">
        <v>298</v>
      </c>
      <c r="F292" s="4"/>
      <c r="G292" s="4"/>
      <c r="H292" s="4"/>
      <c r="I292" s="4"/>
      <c r="J292" s="4"/>
      <c r="K292" s="8"/>
      <c r="L292" s="8"/>
      <c r="M292" s="8"/>
      <c r="N292" s="8"/>
      <c r="O292" s="8"/>
      <c r="P292" s="8"/>
      <c r="Q292" s="8"/>
      <c r="R292" s="8"/>
      <c r="S292" s="10"/>
      <c r="T292" s="10"/>
      <c r="U292" s="10"/>
      <c r="V292" s="10"/>
      <c r="W292" s="10"/>
      <c r="X292" s="10"/>
      <c r="Y292" s="10"/>
      <c r="Z292" s="10"/>
      <c r="AA292" s="10"/>
      <c r="AB292" s="10"/>
      <c r="AC292" s="8"/>
      <c r="AD292" s="8"/>
      <c r="AE292" s="8"/>
    </row>
    <row r="293" spans="1:31" ht="17">
      <c r="A293" s="4" t="s">
        <v>7</v>
      </c>
      <c r="B293" s="2" t="s">
        <v>312</v>
      </c>
      <c r="C293" s="25" t="s">
        <v>15</v>
      </c>
      <c r="D293" s="8"/>
      <c r="E293" s="5" t="s">
        <v>21</v>
      </c>
      <c r="F293" s="4"/>
      <c r="G293" s="4"/>
      <c r="H293" s="4"/>
      <c r="I293" s="4"/>
      <c r="J293" s="4"/>
      <c r="K293" s="8"/>
      <c r="L293" s="8"/>
      <c r="M293" s="8"/>
      <c r="N293" s="8"/>
      <c r="O293" s="8"/>
      <c r="P293" s="8"/>
      <c r="Q293" s="8"/>
      <c r="R293" s="8"/>
      <c r="S293" s="10"/>
      <c r="T293" s="10"/>
      <c r="U293" s="10"/>
      <c r="V293" s="10"/>
      <c r="W293" s="10"/>
      <c r="X293" s="10"/>
      <c r="Y293" s="10"/>
      <c r="Z293" s="10"/>
      <c r="AA293" s="10"/>
      <c r="AB293" s="10"/>
      <c r="AC293" s="8"/>
      <c r="AD293" s="8"/>
      <c r="AE293" s="8"/>
    </row>
    <row r="294" spans="1:31" ht="17">
      <c r="A294" s="4" t="s">
        <v>10</v>
      </c>
      <c r="B294" s="2" t="s">
        <v>313</v>
      </c>
      <c r="C294" s="25" t="s">
        <v>15</v>
      </c>
      <c r="D294" s="8"/>
      <c r="E294" s="5" t="s">
        <v>295</v>
      </c>
      <c r="F294" s="12"/>
      <c r="G294" s="12"/>
      <c r="H294" s="12"/>
      <c r="I294" s="12"/>
      <c r="J294" s="4"/>
      <c r="K294" s="8"/>
      <c r="L294" s="8"/>
      <c r="M294" s="8"/>
      <c r="N294" s="8"/>
      <c r="O294" s="8"/>
      <c r="P294" s="8"/>
      <c r="Q294" s="8"/>
      <c r="R294" s="8"/>
      <c r="S294" s="10"/>
      <c r="T294" s="10"/>
      <c r="U294" s="10"/>
      <c r="V294" s="10"/>
      <c r="W294" s="10"/>
      <c r="X294" s="10"/>
      <c r="Y294" s="10"/>
      <c r="Z294" s="10"/>
      <c r="AA294" s="10"/>
      <c r="AB294" s="10"/>
      <c r="AC294" s="8"/>
      <c r="AD294" s="8"/>
      <c r="AE294" s="8"/>
    </row>
    <row r="295" spans="1:31" ht="17">
      <c r="A295" s="4" t="s">
        <v>10</v>
      </c>
      <c r="B295" s="2" t="s">
        <v>119</v>
      </c>
      <c r="C295" s="25" t="s">
        <v>15</v>
      </c>
      <c r="D295" s="8"/>
      <c r="E295" s="5" t="s">
        <v>298</v>
      </c>
      <c r="F295" s="4"/>
      <c r="G295" s="4"/>
      <c r="H295" s="4"/>
      <c r="I295" s="4"/>
      <c r="J295" s="4"/>
      <c r="K295" s="8"/>
      <c r="L295" s="8"/>
      <c r="M295" s="8"/>
      <c r="N295" s="8"/>
      <c r="O295" s="8"/>
      <c r="P295" s="8"/>
      <c r="Q295" s="8"/>
      <c r="R295" s="8"/>
      <c r="S295" s="10"/>
      <c r="T295" s="10"/>
      <c r="U295" s="10"/>
      <c r="V295" s="10"/>
      <c r="W295" s="10"/>
      <c r="X295" s="10"/>
      <c r="Y295" s="10"/>
      <c r="Z295" s="10"/>
      <c r="AA295" s="10"/>
      <c r="AB295" s="10"/>
      <c r="AC295" s="8"/>
      <c r="AD295" s="8"/>
      <c r="AE295" s="8"/>
    </row>
    <row r="296" spans="1:31" ht="17">
      <c r="A296" s="4" t="s">
        <v>10</v>
      </c>
      <c r="B296" s="2" t="s">
        <v>314</v>
      </c>
      <c r="C296" s="25" t="s">
        <v>15</v>
      </c>
      <c r="D296" s="8"/>
      <c r="E296" s="8" t="s">
        <v>88</v>
      </c>
      <c r="F296" s="4"/>
      <c r="G296" s="4"/>
      <c r="H296" s="4"/>
      <c r="I296" s="4"/>
      <c r="J296" s="4"/>
      <c r="K296" s="8"/>
      <c r="L296" s="8"/>
      <c r="M296" s="8"/>
      <c r="N296" s="8"/>
      <c r="O296" s="8"/>
      <c r="P296" s="8"/>
      <c r="Q296" s="8"/>
      <c r="R296" s="8"/>
      <c r="S296" s="10"/>
      <c r="T296" s="10"/>
      <c r="U296" s="10"/>
      <c r="V296" s="10"/>
      <c r="W296" s="10"/>
      <c r="X296" s="10"/>
      <c r="Y296" s="10"/>
      <c r="Z296" s="10"/>
      <c r="AA296" s="10"/>
      <c r="AB296" s="10"/>
      <c r="AC296" s="8"/>
      <c r="AD296" s="8"/>
      <c r="AE296" s="8"/>
    </row>
    <row r="297" spans="1:31" ht="17">
      <c r="A297" s="4" t="s">
        <v>7</v>
      </c>
      <c r="B297" s="2" t="s">
        <v>284</v>
      </c>
      <c r="C297" s="25" t="s">
        <v>15</v>
      </c>
      <c r="D297" s="8"/>
      <c r="E297" s="5" t="s">
        <v>21</v>
      </c>
      <c r="F297" s="4"/>
      <c r="G297" s="4"/>
      <c r="H297" s="4"/>
      <c r="I297" s="4"/>
      <c r="J297" s="4"/>
      <c r="K297" s="8"/>
      <c r="L297" s="8"/>
      <c r="M297" s="8"/>
      <c r="N297" s="8"/>
      <c r="O297" s="8"/>
      <c r="P297" s="8"/>
      <c r="Q297" s="8"/>
      <c r="R297" s="8"/>
      <c r="S297" s="4"/>
      <c r="T297" s="4"/>
      <c r="U297" s="4"/>
      <c r="V297" s="4"/>
      <c r="W297" s="4"/>
      <c r="X297" s="4"/>
      <c r="Y297" s="4"/>
      <c r="Z297" s="4"/>
      <c r="AA297" s="4"/>
      <c r="AB297" s="4"/>
      <c r="AC297" s="8"/>
      <c r="AD297" s="8"/>
      <c r="AE297" s="8"/>
    </row>
    <row r="298" spans="1:31" ht="17">
      <c r="A298" s="4" t="s">
        <v>7</v>
      </c>
      <c r="B298" s="2" t="s">
        <v>285</v>
      </c>
      <c r="C298" s="25" t="s">
        <v>15</v>
      </c>
      <c r="D298" s="8"/>
      <c r="E298" s="5" t="s">
        <v>21</v>
      </c>
      <c r="F298" s="4"/>
      <c r="G298" s="4"/>
      <c r="H298" s="4"/>
      <c r="I298" s="4"/>
      <c r="J298" s="4"/>
      <c r="K298" s="8"/>
      <c r="L298" s="8"/>
      <c r="M298" s="8"/>
      <c r="N298" s="8"/>
      <c r="O298" s="8"/>
      <c r="P298" s="8"/>
      <c r="Q298" s="8"/>
      <c r="R298" s="8"/>
      <c r="S298" s="4"/>
      <c r="T298" s="4"/>
      <c r="U298" s="4"/>
      <c r="V298" s="4"/>
      <c r="W298" s="4"/>
      <c r="X298" s="4"/>
      <c r="Y298" s="4"/>
      <c r="Z298" s="4"/>
      <c r="AA298" s="4"/>
      <c r="AB298" s="4"/>
      <c r="AC298" s="8"/>
      <c r="AD298" s="8"/>
      <c r="AE298" s="8"/>
    </row>
    <row r="299" spans="1:31" ht="17">
      <c r="A299" s="4" t="s">
        <v>10</v>
      </c>
      <c r="B299" s="2" t="s">
        <v>315</v>
      </c>
      <c r="C299" s="25" t="s">
        <v>15</v>
      </c>
      <c r="D299" s="8"/>
      <c r="E299" s="8" t="s">
        <v>89</v>
      </c>
      <c r="F299" s="4"/>
      <c r="G299" s="4"/>
      <c r="H299" s="4"/>
      <c r="I299" s="4"/>
      <c r="J299" s="4"/>
      <c r="K299" s="8"/>
      <c r="L299" s="8"/>
      <c r="M299" s="8"/>
      <c r="N299" s="8"/>
      <c r="O299" s="8"/>
      <c r="P299" s="8"/>
      <c r="Q299" s="8"/>
      <c r="R299" s="8"/>
      <c r="S299" s="4"/>
      <c r="T299" s="4"/>
      <c r="U299" s="4"/>
      <c r="V299" s="4"/>
      <c r="W299" s="4"/>
      <c r="X299" s="4"/>
      <c r="Y299" s="4"/>
      <c r="Z299" s="4"/>
      <c r="AA299" s="4"/>
      <c r="AB299" s="4"/>
      <c r="AC299" s="8"/>
      <c r="AD299" s="8"/>
      <c r="AE299" s="8"/>
    </row>
    <row r="300" spans="1:31" ht="17">
      <c r="A300" s="4" t="s">
        <v>10</v>
      </c>
      <c r="B300" s="2" t="s">
        <v>316</v>
      </c>
      <c r="C300" s="25" t="s">
        <v>15</v>
      </c>
      <c r="D300" s="8"/>
      <c r="E300" s="8" t="s">
        <v>88</v>
      </c>
      <c r="F300" s="4"/>
      <c r="G300" s="4"/>
      <c r="H300" s="4"/>
      <c r="I300" s="4"/>
      <c r="J300" s="4"/>
      <c r="K300" s="8"/>
      <c r="L300" s="8"/>
      <c r="M300" s="8"/>
      <c r="N300" s="8"/>
      <c r="O300" s="8"/>
      <c r="P300" s="8"/>
      <c r="Q300" s="8"/>
      <c r="R300" s="8"/>
      <c r="S300" s="4"/>
      <c r="T300" s="4"/>
      <c r="U300" s="4"/>
      <c r="V300" s="4"/>
      <c r="W300" s="4"/>
      <c r="X300" s="4"/>
      <c r="Y300" s="4"/>
      <c r="Z300" s="4"/>
      <c r="AA300" s="4"/>
      <c r="AB300" s="4"/>
      <c r="AC300" s="8"/>
      <c r="AD300" s="8"/>
      <c r="AE300" s="8"/>
    </row>
    <row r="301" spans="1:31" ht="17">
      <c r="A301" s="4" t="s">
        <v>7</v>
      </c>
      <c r="B301" s="2" t="s">
        <v>252</v>
      </c>
      <c r="C301" s="13" t="s">
        <v>15</v>
      </c>
      <c r="D301" s="8"/>
      <c r="E301" s="5" t="s">
        <v>21</v>
      </c>
      <c r="F301" s="4"/>
      <c r="G301" s="4"/>
      <c r="H301" s="4"/>
      <c r="I301" s="4"/>
      <c r="J301" s="4"/>
      <c r="K301" s="8"/>
      <c r="L301" s="8"/>
      <c r="M301" s="8"/>
      <c r="N301" s="8"/>
      <c r="O301" s="8"/>
      <c r="P301" s="8"/>
      <c r="Q301" s="8"/>
      <c r="R301" s="8"/>
      <c r="S301" s="4"/>
      <c r="T301" s="4"/>
      <c r="U301" s="4"/>
      <c r="V301" s="4"/>
      <c r="W301" s="4"/>
      <c r="X301" s="4"/>
      <c r="Y301" s="4"/>
      <c r="Z301" s="4"/>
      <c r="AA301" s="4"/>
      <c r="AB301" s="4"/>
      <c r="AC301" s="8"/>
      <c r="AD301" s="8"/>
      <c r="AE301" s="8"/>
    </row>
    <row r="302" spans="1:31" ht="17">
      <c r="A302" s="4" t="s">
        <v>7</v>
      </c>
      <c r="B302" s="2" t="s">
        <v>317</v>
      </c>
      <c r="C302" s="13" t="s">
        <v>15</v>
      </c>
      <c r="D302" s="8"/>
      <c r="E302" s="5" t="s">
        <v>21</v>
      </c>
      <c r="F302" s="4"/>
      <c r="G302" s="4"/>
      <c r="H302" s="4"/>
      <c r="I302" s="4"/>
      <c r="J302" s="4"/>
      <c r="K302" s="8"/>
      <c r="L302" s="8"/>
      <c r="M302" s="8"/>
      <c r="N302" s="8"/>
      <c r="O302" s="8"/>
      <c r="P302" s="8"/>
      <c r="Q302" s="8"/>
      <c r="R302" s="8"/>
      <c r="S302" s="4"/>
      <c r="T302" s="4"/>
      <c r="U302" s="4"/>
      <c r="V302" s="4"/>
      <c r="W302" s="4"/>
      <c r="X302" s="4"/>
      <c r="Y302" s="4"/>
      <c r="Z302" s="4"/>
      <c r="AA302" s="4"/>
      <c r="AB302" s="4"/>
      <c r="AC302" s="8"/>
      <c r="AD302" s="8"/>
      <c r="AE302" s="8"/>
    </row>
    <row r="303" spans="1:31" ht="17">
      <c r="A303" s="4" t="s">
        <v>10</v>
      </c>
      <c r="B303" s="2" t="s">
        <v>318</v>
      </c>
      <c r="C303" s="25" t="s">
        <v>15</v>
      </c>
      <c r="D303" s="8"/>
      <c r="E303" s="8" t="s">
        <v>88</v>
      </c>
      <c r="F303" s="4"/>
      <c r="G303" s="4"/>
      <c r="H303" s="4"/>
      <c r="I303" s="4"/>
      <c r="J303" s="4"/>
      <c r="K303" s="8"/>
      <c r="L303" s="8"/>
      <c r="M303" s="8"/>
      <c r="N303" s="8"/>
      <c r="O303" s="8"/>
      <c r="P303" s="8"/>
      <c r="Q303" s="8"/>
      <c r="R303" s="8"/>
      <c r="S303" s="4"/>
      <c r="T303" s="4"/>
      <c r="U303" s="4"/>
      <c r="V303" s="4"/>
      <c r="W303" s="4"/>
      <c r="X303" s="4"/>
      <c r="Y303" s="4"/>
      <c r="Z303" s="4"/>
      <c r="AA303" s="4"/>
      <c r="AB303" s="4"/>
      <c r="AC303" s="8"/>
      <c r="AD303" s="8"/>
      <c r="AE303" s="8"/>
    </row>
    <row r="304" spans="1:31" ht="17">
      <c r="A304" s="4" t="s">
        <v>10</v>
      </c>
      <c r="B304" s="2" t="s">
        <v>319</v>
      </c>
      <c r="C304" s="25" t="s">
        <v>15</v>
      </c>
      <c r="D304" s="8"/>
      <c r="E304" s="8" t="s">
        <v>88</v>
      </c>
      <c r="F304" s="4"/>
      <c r="G304" s="4"/>
      <c r="H304" s="4"/>
      <c r="I304" s="4"/>
      <c r="J304" s="4"/>
      <c r="K304" s="8"/>
      <c r="L304" s="8"/>
      <c r="M304" s="8"/>
      <c r="N304" s="8"/>
      <c r="O304" s="8"/>
      <c r="P304" s="8"/>
      <c r="Q304" s="8"/>
      <c r="R304" s="8"/>
      <c r="S304" s="4"/>
      <c r="T304" s="4"/>
      <c r="U304" s="4"/>
      <c r="V304" s="4"/>
      <c r="W304" s="4"/>
      <c r="X304" s="4"/>
      <c r="Y304" s="4"/>
      <c r="Z304" s="4"/>
      <c r="AA304" s="4"/>
      <c r="AB304" s="4"/>
      <c r="AC304" s="8"/>
      <c r="AD304" s="8"/>
      <c r="AE304" s="8"/>
    </row>
    <row r="305" spans="1:31" ht="272">
      <c r="A305" s="4" t="s">
        <v>10</v>
      </c>
      <c r="B305" s="2" t="s">
        <v>320</v>
      </c>
      <c r="C305" s="27" t="s">
        <v>14</v>
      </c>
      <c r="D305" s="27" t="s">
        <v>14</v>
      </c>
      <c r="E305" s="5" t="s">
        <v>65</v>
      </c>
      <c r="F305" s="4">
        <v>0</v>
      </c>
      <c r="G305" s="4">
        <v>1</v>
      </c>
      <c r="H305" s="4">
        <v>0</v>
      </c>
      <c r="I305" s="4">
        <v>0</v>
      </c>
      <c r="J305" s="4" t="s">
        <v>344</v>
      </c>
      <c r="K305" s="8" t="s">
        <v>23</v>
      </c>
      <c r="L305" s="8">
        <v>1</v>
      </c>
      <c r="M305" s="8">
        <v>1</v>
      </c>
      <c r="N305" s="8" t="s">
        <v>593</v>
      </c>
      <c r="O305" s="8" t="s">
        <v>65</v>
      </c>
      <c r="P305" s="8">
        <v>1190</v>
      </c>
      <c r="Q305" s="8" t="s">
        <v>362</v>
      </c>
      <c r="R305" s="8" t="s">
        <v>368</v>
      </c>
      <c r="S305" s="4" t="s">
        <v>591</v>
      </c>
      <c r="T305" s="4" t="s">
        <v>590</v>
      </c>
      <c r="U305" s="4" t="s">
        <v>592</v>
      </c>
      <c r="V305" s="4"/>
      <c r="W305" s="4"/>
      <c r="X305" s="4"/>
      <c r="Y305" s="4">
        <v>0</v>
      </c>
      <c r="Z305" s="4"/>
      <c r="AA305" s="4" t="s">
        <v>65</v>
      </c>
      <c r="AB305" s="4" t="s">
        <v>65</v>
      </c>
      <c r="AC305" s="8"/>
      <c r="AD305" s="8" t="s">
        <v>589</v>
      </c>
      <c r="AE305" s="8" t="s">
        <v>588</v>
      </c>
    </row>
    <row r="306" spans="1:31" ht="17">
      <c r="A306" s="4" t="s">
        <v>10</v>
      </c>
      <c r="B306" s="2" t="s">
        <v>321</v>
      </c>
      <c r="C306" s="25" t="s">
        <v>15</v>
      </c>
      <c r="D306" s="8"/>
      <c r="E306" s="8" t="s">
        <v>18</v>
      </c>
      <c r="F306" s="4"/>
      <c r="G306" s="4"/>
      <c r="H306" s="4"/>
      <c r="I306" s="4"/>
      <c r="J306" s="4"/>
      <c r="K306" s="8"/>
      <c r="L306" s="8"/>
      <c r="M306" s="8"/>
      <c r="N306" s="8"/>
      <c r="O306" s="8"/>
      <c r="P306" s="8"/>
      <c r="Q306" s="8"/>
      <c r="R306" s="8"/>
      <c r="S306" s="4"/>
      <c r="T306" s="4"/>
      <c r="U306" s="4"/>
      <c r="V306" s="4"/>
      <c r="W306" s="4"/>
      <c r="X306" s="4"/>
      <c r="Y306" s="4"/>
      <c r="Z306" s="4"/>
      <c r="AA306" s="4"/>
      <c r="AB306" s="4"/>
      <c r="AC306" s="8"/>
      <c r="AD306" s="8"/>
      <c r="AE306" s="8"/>
    </row>
    <row r="307" spans="1:31" ht="17">
      <c r="A307" s="4" t="s">
        <v>7</v>
      </c>
      <c r="B307" s="2" t="s">
        <v>205</v>
      </c>
      <c r="C307" s="13" t="s">
        <v>15</v>
      </c>
      <c r="D307" s="8"/>
      <c r="E307" s="5" t="s">
        <v>21</v>
      </c>
      <c r="F307" s="4"/>
      <c r="G307" s="4"/>
      <c r="H307" s="4"/>
      <c r="I307" s="4"/>
      <c r="J307" s="4"/>
      <c r="K307" s="8"/>
      <c r="L307" s="8"/>
      <c r="M307" s="8"/>
      <c r="N307" s="8"/>
      <c r="O307" s="8"/>
      <c r="P307" s="8"/>
      <c r="Q307" s="8"/>
      <c r="R307" s="8"/>
      <c r="S307" s="4"/>
      <c r="T307" s="4"/>
      <c r="U307" s="4"/>
      <c r="V307" s="4"/>
      <c r="W307" s="4"/>
      <c r="X307" s="4"/>
      <c r="Y307" s="4"/>
      <c r="Z307" s="4"/>
      <c r="AA307" s="4"/>
      <c r="AB307" s="4"/>
      <c r="AC307" s="8"/>
      <c r="AD307" s="8"/>
      <c r="AE307" s="8"/>
    </row>
    <row r="308" spans="1:31" ht="17">
      <c r="A308" s="4" t="s">
        <v>7</v>
      </c>
      <c r="B308" s="2" t="s">
        <v>322</v>
      </c>
      <c r="C308" s="13" t="s">
        <v>15</v>
      </c>
      <c r="D308" s="8"/>
      <c r="E308" s="5" t="s">
        <v>21</v>
      </c>
      <c r="F308" s="4"/>
      <c r="G308" s="4"/>
      <c r="H308" s="4"/>
      <c r="I308" s="4"/>
      <c r="J308" s="4"/>
      <c r="K308" s="8"/>
      <c r="L308" s="8"/>
      <c r="M308" s="8"/>
      <c r="N308" s="8"/>
      <c r="O308" s="8"/>
      <c r="P308" s="8"/>
      <c r="Q308" s="8"/>
      <c r="R308" s="8"/>
      <c r="S308" s="4"/>
      <c r="T308" s="4"/>
      <c r="U308" s="4"/>
      <c r="V308" s="4"/>
      <c r="W308" s="4"/>
      <c r="X308" s="4"/>
      <c r="Y308" s="4"/>
      <c r="Z308" s="4"/>
      <c r="AA308" s="4"/>
      <c r="AB308" s="4"/>
      <c r="AC308" s="8"/>
      <c r="AD308" s="8"/>
      <c r="AE308" s="8"/>
    </row>
    <row r="309" spans="1:31" ht="17">
      <c r="A309" s="4" t="s">
        <v>7</v>
      </c>
      <c r="B309" s="2" t="s">
        <v>124</v>
      </c>
      <c r="C309" s="13" t="s">
        <v>15</v>
      </c>
      <c r="D309" s="8"/>
      <c r="E309" s="5" t="s">
        <v>21</v>
      </c>
      <c r="F309" s="4"/>
      <c r="G309" s="4"/>
      <c r="H309" s="4"/>
      <c r="I309" s="4"/>
      <c r="J309" s="4"/>
      <c r="K309" s="8"/>
      <c r="L309" s="8"/>
      <c r="M309" s="8"/>
      <c r="N309" s="8"/>
      <c r="O309" s="8"/>
      <c r="P309" s="8"/>
      <c r="Q309" s="8"/>
      <c r="R309" s="8"/>
      <c r="S309" s="4"/>
      <c r="T309" s="4"/>
      <c r="U309" s="4"/>
      <c r="V309" s="4"/>
      <c r="W309" s="4"/>
      <c r="X309" s="4"/>
      <c r="Y309" s="4"/>
      <c r="Z309" s="4"/>
      <c r="AA309" s="4"/>
      <c r="AB309" s="4"/>
      <c r="AC309" s="8"/>
      <c r="AD309" s="8"/>
      <c r="AE309" s="8"/>
    </row>
    <row r="310" spans="1:31" ht="17">
      <c r="A310" s="4" t="s">
        <v>7</v>
      </c>
      <c r="B310" s="2" t="s">
        <v>217</v>
      </c>
      <c r="C310" s="13" t="s">
        <v>15</v>
      </c>
      <c r="D310" s="8"/>
      <c r="E310" s="5" t="s">
        <v>21</v>
      </c>
      <c r="F310" s="4"/>
      <c r="G310" s="4"/>
      <c r="H310" s="4"/>
      <c r="I310" s="4"/>
      <c r="J310" s="4"/>
      <c r="K310" s="8"/>
      <c r="L310" s="8"/>
      <c r="M310" s="8"/>
      <c r="N310" s="8"/>
      <c r="O310" s="8"/>
      <c r="P310" s="8"/>
      <c r="Q310" s="8"/>
      <c r="R310" s="8"/>
      <c r="S310" s="4"/>
      <c r="T310" s="4"/>
      <c r="U310" s="4"/>
      <c r="V310" s="4"/>
      <c r="W310" s="4"/>
      <c r="X310" s="4"/>
      <c r="Y310" s="4"/>
      <c r="Z310" s="4"/>
      <c r="AA310" s="4"/>
      <c r="AB310" s="4"/>
      <c r="AC310" s="8"/>
      <c r="AD310" s="8"/>
      <c r="AE310" s="8"/>
    </row>
    <row r="311" spans="1:31" ht="17">
      <c r="A311" s="4" t="s">
        <v>10</v>
      </c>
      <c r="B311" s="2" t="s">
        <v>104</v>
      </c>
      <c r="C311" s="25" t="s">
        <v>15</v>
      </c>
      <c r="D311" s="8"/>
      <c r="E311" s="5" t="s">
        <v>298</v>
      </c>
      <c r="F311" s="4"/>
      <c r="G311" s="4"/>
      <c r="H311" s="4"/>
      <c r="I311" s="4"/>
      <c r="J311" s="4"/>
      <c r="K311" s="8"/>
      <c r="L311" s="8"/>
      <c r="M311" s="8"/>
      <c r="N311" s="8"/>
      <c r="O311" s="8"/>
      <c r="P311" s="8"/>
      <c r="Q311" s="8"/>
      <c r="R311" s="8"/>
      <c r="S311" s="4"/>
      <c r="T311" s="4"/>
      <c r="U311" s="4"/>
      <c r="V311" s="4"/>
      <c r="W311" s="4"/>
      <c r="X311" s="4"/>
      <c r="Y311" s="4"/>
      <c r="Z311" s="4"/>
      <c r="AA311" s="4"/>
      <c r="AB311" s="4"/>
      <c r="AC311" s="8"/>
      <c r="AD311" s="8"/>
      <c r="AE311" s="8"/>
    </row>
    <row r="312" spans="1:31" ht="17">
      <c r="A312" s="4" t="s">
        <v>10</v>
      </c>
      <c r="B312" s="2" t="s">
        <v>272</v>
      </c>
      <c r="C312" s="25" t="s">
        <v>15</v>
      </c>
      <c r="D312" s="8"/>
      <c r="E312" s="5" t="s">
        <v>298</v>
      </c>
      <c r="F312" s="4"/>
      <c r="G312" s="4"/>
      <c r="H312" s="4"/>
      <c r="I312" s="4"/>
      <c r="J312" s="4"/>
      <c r="K312" s="8"/>
      <c r="L312" s="8"/>
      <c r="M312" s="8"/>
      <c r="N312" s="8"/>
      <c r="O312" s="8"/>
      <c r="P312" s="8"/>
      <c r="Q312" s="8"/>
      <c r="R312" s="8"/>
      <c r="S312" s="4"/>
      <c r="T312" s="4"/>
      <c r="U312" s="4"/>
      <c r="V312" s="4"/>
      <c r="W312" s="4"/>
      <c r="X312" s="4"/>
      <c r="Y312" s="4"/>
      <c r="Z312" s="4"/>
      <c r="AA312" s="4"/>
      <c r="AB312" s="4"/>
      <c r="AC312" s="8"/>
      <c r="AD312" s="8"/>
      <c r="AE312" s="8"/>
    </row>
    <row r="313" spans="1:31" ht="17">
      <c r="A313" s="4" t="s">
        <v>10</v>
      </c>
      <c r="B313" s="2" t="s">
        <v>125</v>
      </c>
      <c r="C313" s="25" t="s">
        <v>15</v>
      </c>
      <c r="D313" s="8"/>
      <c r="E313" s="5" t="s">
        <v>295</v>
      </c>
      <c r="F313" s="4"/>
      <c r="G313" s="4"/>
      <c r="H313" s="4"/>
      <c r="I313" s="4"/>
      <c r="J313" s="4"/>
      <c r="K313" s="8"/>
      <c r="L313" s="8"/>
      <c r="M313" s="8"/>
      <c r="N313" s="8"/>
      <c r="O313" s="8"/>
      <c r="P313" s="8"/>
      <c r="Q313" s="8"/>
      <c r="R313" s="8"/>
      <c r="S313" s="4"/>
      <c r="T313" s="4"/>
      <c r="U313" s="4"/>
      <c r="V313" s="4"/>
      <c r="W313" s="4"/>
      <c r="X313" s="4"/>
      <c r="Y313" s="4"/>
      <c r="Z313" s="4"/>
      <c r="AA313" s="4"/>
      <c r="AB313" s="4"/>
      <c r="AC313" s="8"/>
      <c r="AD313" s="8"/>
      <c r="AE313" s="8"/>
    </row>
    <row r="314" spans="1:31" ht="17">
      <c r="A314" s="4" t="s">
        <v>7</v>
      </c>
      <c r="B314" s="2" t="s">
        <v>100</v>
      </c>
      <c r="C314" s="13" t="s">
        <v>15</v>
      </c>
      <c r="D314" s="8"/>
      <c r="E314" s="5" t="s">
        <v>21</v>
      </c>
      <c r="F314" s="4"/>
      <c r="G314" s="4"/>
      <c r="H314" s="4"/>
      <c r="I314" s="4"/>
      <c r="J314" s="4"/>
      <c r="K314" s="8"/>
      <c r="L314" s="8"/>
      <c r="M314" s="8"/>
      <c r="N314" s="8"/>
      <c r="O314" s="8"/>
      <c r="P314" s="8"/>
      <c r="Q314" s="8"/>
      <c r="R314" s="8"/>
      <c r="S314" s="4"/>
      <c r="T314" s="4"/>
      <c r="U314" s="4"/>
      <c r="V314" s="4"/>
      <c r="W314" s="4"/>
      <c r="X314" s="4"/>
      <c r="Y314" s="4"/>
      <c r="Z314" s="4"/>
      <c r="AA314" s="4"/>
      <c r="AB314" s="4"/>
      <c r="AC314" s="8"/>
      <c r="AD314" s="8"/>
      <c r="AE314" s="8"/>
    </row>
    <row r="315" spans="1:31" ht="17">
      <c r="A315" s="4" t="s">
        <v>10</v>
      </c>
      <c r="B315" s="2" t="s">
        <v>338</v>
      </c>
      <c r="C315" s="25" t="s">
        <v>15</v>
      </c>
      <c r="D315" s="8"/>
      <c r="E315" s="8" t="s">
        <v>88</v>
      </c>
      <c r="F315" s="4"/>
      <c r="G315" s="4"/>
      <c r="H315" s="4"/>
      <c r="I315" s="4"/>
      <c r="J315" s="4"/>
      <c r="K315" s="8"/>
      <c r="L315" s="8"/>
      <c r="M315" s="8"/>
      <c r="N315" s="8"/>
      <c r="O315" s="8"/>
      <c r="P315" s="8"/>
      <c r="Q315" s="8"/>
      <c r="R315" s="8"/>
      <c r="S315" s="4"/>
      <c r="T315" s="4"/>
      <c r="U315" s="4"/>
      <c r="V315" s="4"/>
      <c r="W315" s="4"/>
      <c r="X315" s="4"/>
      <c r="Y315" s="4"/>
      <c r="Z315" s="4"/>
      <c r="AA315" s="4"/>
      <c r="AB315" s="4"/>
      <c r="AC315" s="8"/>
      <c r="AD315" s="8"/>
      <c r="AE315" s="8"/>
    </row>
    <row r="316" spans="1:31" ht="17">
      <c r="A316" s="4" t="s">
        <v>10</v>
      </c>
      <c r="B316" s="2" t="s">
        <v>323</v>
      </c>
      <c r="C316" s="25" t="s">
        <v>15</v>
      </c>
      <c r="D316" s="15"/>
      <c r="E316" s="5" t="s">
        <v>298</v>
      </c>
      <c r="F316" s="4"/>
      <c r="G316" s="4"/>
      <c r="H316" s="4"/>
      <c r="I316" s="4"/>
      <c r="J316" s="4"/>
      <c r="K316" s="8"/>
      <c r="L316" s="8"/>
      <c r="M316" s="9"/>
      <c r="N316" s="9"/>
      <c r="O316" s="9"/>
      <c r="P316" s="8"/>
      <c r="Q316" s="8"/>
      <c r="R316" s="8"/>
      <c r="S316" s="10"/>
      <c r="T316" s="4"/>
      <c r="U316" s="4"/>
      <c r="V316" s="10"/>
      <c r="W316" s="10"/>
      <c r="X316" s="10"/>
      <c r="Y316" s="10"/>
      <c r="Z316" s="10"/>
      <c r="AA316" s="10"/>
      <c r="AB316" s="10"/>
      <c r="AC316" s="8"/>
      <c r="AD316" s="8"/>
      <c r="AE316" s="8"/>
    </row>
    <row r="317" spans="1:31" ht="17">
      <c r="A317" s="4" t="s">
        <v>10</v>
      </c>
      <c r="B317" s="2" t="s">
        <v>97</v>
      </c>
      <c r="C317" s="25" t="s">
        <v>15</v>
      </c>
      <c r="D317" s="15"/>
      <c r="E317" s="5" t="s">
        <v>298</v>
      </c>
      <c r="F317" s="4"/>
      <c r="G317" s="4"/>
      <c r="H317" s="4"/>
      <c r="I317" s="4"/>
      <c r="J317" s="4"/>
      <c r="K317" s="8"/>
      <c r="L317" s="8"/>
      <c r="M317" s="8"/>
      <c r="N317" s="8"/>
      <c r="O317" s="8"/>
      <c r="P317" s="8"/>
      <c r="Q317" s="8"/>
      <c r="R317" s="8"/>
      <c r="S317" s="10"/>
      <c r="T317" s="4"/>
      <c r="U317" s="4"/>
      <c r="V317" s="21"/>
      <c r="W317" s="14"/>
      <c r="X317" s="14"/>
      <c r="Y317" s="10"/>
      <c r="Z317" s="10"/>
      <c r="AA317" s="10"/>
      <c r="AB317" s="10"/>
      <c r="AC317" s="8"/>
      <c r="AD317" s="8"/>
      <c r="AE317" s="8"/>
    </row>
    <row r="318" spans="1:31" ht="17">
      <c r="A318" s="4" t="s">
        <v>10</v>
      </c>
      <c r="B318" s="2" t="s">
        <v>324</v>
      </c>
      <c r="C318" s="25" t="s">
        <v>15</v>
      </c>
      <c r="D318" s="15"/>
      <c r="E318" s="5" t="s">
        <v>298</v>
      </c>
      <c r="F318" s="4"/>
      <c r="G318" s="4"/>
      <c r="H318" s="4"/>
      <c r="I318" s="4"/>
      <c r="J318" s="4"/>
      <c r="K318" s="8"/>
      <c r="L318" s="8"/>
      <c r="M318" s="8"/>
      <c r="N318" s="8"/>
      <c r="O318" s="8"/>
      <c r="P318" s="8"/>
      <c r="Q318" s="8"/>
      <c r="R318" s="8"/>
      <c r="S318" s="10"/>
      <c r="T318" s="14"/>
      <c r="U318" s="10"/>
      <c r="V318" s="21"/>
      <c r="W318" s="10"/>
      <c r="X318" s="10"/>
      <c r="Y318" s="10"/>
      <c r="Z318" s="10"/>
      <c r="AA318" s="10"/>
      <c r="AB318" s="10"/>
      <c r="AC318" s="8"/>
      <c r="AD318" s="8"/>
      <c r="AE318" s="8"/>
    </row>
    <row r="319" spans="1:31" ht="17">
      <c r="A319" s="4" t="s">
        <v>10</v>
      </c>
      <c r="B319" s="2" t="s">
        <v>325</v>
      </c>
      <c r="C319" s="25" t="s">
        <v>15</v>
      </c>
      <c r="D319" s="15"/>
      <c r="E319" s="8" t="s">
        <v>18</v>
      </c>
      <c r="F319" s="4"/>
      <c r="G319" s="4"/>
      <c r="H319" s="4"/>
      <c r="I319" s="4"/>
      <c r="J319" s="4"/>
      <c r="K319" s="8"/>
      <c r="L319" s="8"/>
      <c r="M319" s="8"/>
      <c r="N319" s="8"/>
      <c r="O319" s="8"/>
      <c r="P319" s="8"/>
      <c r="Q319" s="8"/>
      <c r="R319" s="8"/>
      <c r="S319" s="10"/>
      <c r="T319" s="10"/>
      <c r="U319" s="10"/>
      <c r="V319" s="10"/>
      <c r="W319" s="10"/>
      <c r="X319" s="10"/>
      <c r="Y319" s="10"/>
      <c r="Z319" s="10"/>
      <c r="AA319" s="10"/>
      <c r="AB319" s="10"/>
      <c r="AC319" s="8"/>
      <c r="AD319" s="8"/>
      <c r="AE319" s="8"/>
    </row>
    <row r="320" spans="1:31" ht="17">
      <c r="A320" s="4" t="s">
        <v>10</v>
      </c>
      <c r="B320" s="2" t="s">
        <v>94</v>
      </c>
      <c r="C320" s="25" t="s">
        <v>15</v>
      </c>
      <c r="D320" s="8"/>
      <c r="E320" s="5" t="s">
        <v>295</v>
      </c>
      <c r="F320" s="4"/>
      <c r="G320" s="4"/>
      <c r="H320" s="4"/>
      <c r="I320" s="4"/>
      <c r="J320" s="4"/>
      <c r="K320" s="8"/>
      <c r="L320" s="8"/>
      <c r="M320" s="8"/>
      <c r="N320" s="8"/>
      <c r="O320" s="8"/>
      <c r="P320" s="8"/>
      <c r="Q320" s="8"/>
      <c r="R320" s="8"/>
      <c r="S320" s="10"/>
      <c r="T320" s="10"/>
      <c r="U320" s="10"/>
      <c r="V320" s="10"/>
      <c r="W320" s="10"/>
      <c r="X320" s="10"/>
      <c r="Y320" s="10"/>
      <c r="Z320" s="10"/>
      <c r="AA320" s="10"/>
      <c r="AB320" s="10"/>
      <c r="AC320" s="8"/>
      <c r="AD320" s="8"/>
      <c r="AE320" s="8"/>
    </row>
    <row r="321" spans="1:31" ht="17">
      <c r="A321" s="4" t="s">
        <v>10</v>
      </c>
      <c r="B321" s="2" t="s">
        <v>326</v>
      </c>
      <c r="C321" s="25" t="s">
        <v>15</v>
      </c>
      <c r="D321" s="8"/>
      <c r="E321" s="8" t="s">
        <v>18</v>
      </c>
      <c r="F321" s="12"/>
      <c r="G321" s="12"/>
      <c r="H321" s="12"/>
      <c r="I321" s="12"/>
      <c r="J321" s="4"/>
      <c r="K321" s="8"/>
      <c r="L321" s="8"/>
      <c r="M321" s="8"/>
      <c r="N321" s="8"/>
      <c r="O321" s="8"/>
      <c r="P321" s="8"/>
      <c r="Q321" s="8"/>
      <c r="R321" s="8"/>
      <c r="S321" s="10"/>
      <c r="T321" s="10"/>
      <c r="U321" s="10"/>
      <c r="V321" s="10"/>
      <c r="W321" s="10"/>
      <c r="X321" s="10"/>
      <c r="Y321" s="10"/>
      <c r="Z321" s="10"/>
      <c r="AA321" s="10"/>
      <c r="AB321" s="10"/>
      <c r="AC321" s="8"/>
      <c r="AD321" s="8"/>
      <c r="AE321" s="8"/>
    </row>
    <row r="322" spans="1:31" ht="17">
      <c r="A322" s="4" t="s">
        <v>10</v>
      </c>
      <c r="B322" s="2" t="s">
        <v>256</v>
      </c>
      <c r="C322" s="25" t="s">
        <v>15</v>
      </c>
      <c r="D322" s="8"/>
      <c r="E322" s="5" t="s">
        <v>298</v>
      </c>
      <c r="F322" s="4"/>
      <c r="G322" s="4"/>
      <c r="H322" s="4"/>
      <c r="I322" s="4"/>
      <c r="J322" s="4"/>
      <c r="K322" s="8"/>
      <c r="L322" s="8"/>
      <c r="M322" s="8"/>
      <c r="N322" s="8"/>
      <c r="O322" s="8"/>
      <c r="P322" s="8"/>
      <c r="Q322" s="8"/>
      <c r="R322" s="8"/>
      <c r="S322" s="10"/>
      <c r="T322" s="10"/>
      <c r="U322" s="10"/>
      <c r="V322" s="10"/>
      <c r="W322" s="10"/>
      <c r="X322" s="10"/>
      <c r="Y322" s="10"/>
      <c r="Z322" s="10"/>
      <c r="AA322" s="10"/>
      <c r="AB322" s="10"/>
      <c r="AC322" s="8"/>
      <c r="AD322" s="8"/>
      <c r="AE322" s="8"/>
    </row>
    <row r="323" spans="1:31" ht="17">
      <c r="A323" s="4" t="s">
        <v>7</v>
      </c>
      <c r="B323" s="2" t="s">
        <v>254</v>
      </c>
      <c r="C323" s="13" t="s">
        <v>15</v>
      </c>
      <c r="D323" s="8"/>
      <c r="E323" s="5" t="s">
        <v>21</v>
      </c>
      <c r="F323" s="4"/>
      <c r="G323" s="4"/>
      <c r="H323" s="4"/>
      <c r="I323" s="4"/>
      <c r="J323" s="4"/>
      <c r="K323" s="8"/>
      <c r="L323" s="8"/>
      <c r="M323" s="8"/>
      <c r="N323" s="8"/>
      <c r="O323" s="8"/>
      <c r="P323" s="8"/>
      <c r="Q323" s="8"/>
      <c r="R323" s="8"/>
      <c r="S323" s="10"/>
      <c r="T323" s="10"/>
      <c r="U323" s="10"/>
      <c r="V323" s="10"/>
      <c r="W323" s="10"/>
      <c r="X323" s="10"/>
      <c r="Y323" s="10"/>
      <c r="Z323" s="10"/>
      <c r="AA323" s="10"/>
      <c r="AB323" s="10"/>
      <c r="AC323" s="8"/>
      <c r="AD323" s="8"/>
      <c r="AE323" s="8"/>
    </row>
    <row r="324" spans="1:31" ht="17">
      <c r="A324" s="4" t="s">
        <v>10</v>
      </c>
      <c r="B324" s="2" t="s">
        <v>327</v>
      </c>
      <c r="C324" s="25" t="s">
        <v>15</v>
      </c>
      <c r="D324" s="8"/>
      <c r="E324" s="8" t="s">
        <v>18</v>
      </c>
      <c r="F324" s="4"/>
      <c r="G324" s="4"/>
      <c r="H324" s="4"/>
      <c r="I324" s="4"/>
      <c r="J324" s="4"/>
      <c r="K324" s="8"/>
      <c r="L324" s="8"/>
      <c r="M324" s="8"/>
      <c r="N324" s="8"/>
      <c r="O324" s="8"/>
      <c r="P324" s="8"/>
      <c r="Q324" s="8"/>
      <c r="R324" s="8"/>
      <c r="S324" s="10"/>
      <c r="T324" s="10"/>
      <c r="U324" s="10"/>
      <c r="V324" s="10"/>
      <c r="W324" s="10"/>
      <c r="X324" s="10"/>
      <c r="Y324" s="10"/>
      <c r="Z324" s="10"/>
      <c r="AA324" s="10"/>
      <c r="AB324" s="10"/>
      <c r="AC324" s="8"/>
      <c r="AD324" s="8"/>
      <c r="AE324" s="8"/>
    </row>
    <row r="325" spans="1:31" ht="17">
      <c r="A325" s="4" t="s">
        <v>10</v>
      </c>
      <c r="B325" s="2" t="s">
        <v>126</v>
      </c>
      <c r="C325" s="25" t="s">
        <v>15</v>
      </c>
      <c r="D325" s="8"/>
      <c r="E325" s="5" t="s">
        <v>298</v>
      </c>
      <c r="F325" s="12"/>
      <c r="G325" s="12"/>
      <c r="H325" s="12"/>
      <c r="I325" s="12"/>
      <c r="J325" s="4"/>
      <c r="K325" s="8"/>
      <c r="L325" s="8"/>
      <c r="M325" s="8"/>
      <c r="N325" s="8"/>
      <c r="O325" s="8"/>
      <c r="P325" s="8"/>
      <c r="Q325" s="8"/>
      <c r="R325" s="8"/>
      <c r="S325" s="10"/>
      <c r="T325" s="10"/>
      <c r="U325" s="10"/>
      <c r="V325" s="10"/>
      <c r="W325" s="10"/>
      <c r="X325" s="10"/>
      <c r="Y325" s="10"/>
      <c r="Z325" s="10"/>
      <c r="AA325" s="10"/>
      <c r="AB325" s="10"/>
      <c r="AC325" s="8"/>
      <c r="AD325" s="8"/>
      <c r="AE325" s="8"/>
    </row>
    <row r="326" spans="1:31" ht="17">
      <c r="A326" s="4" t="s">
        <v>10</v>
      </c>
      <c r="B326" s="2" t="s">
        <v>328</v>
      </c>
      <c r="C326" s="25" t="s">
        <v>15</v>
      </c>
      <c r="D326" s="7"/>
      <c r="E326" s="5" t="s">
        <v>298</v>
      </c>
      <c r="F326" s="4"/>
      <c r="G326" s="4"/>
      <c r="H326" s="4"/>
      <c r="I326" s="4"/>
      <c r="J326" s="4"/>
      <c r="K326" s="8"/>
      <c r="L326" s="8"/>
      <c r="M326" s="8"/>
      <c r="N326" s="8"/>
      <c r="O326" s="8"/>
      <c r="P326" s="8"/>
      <c r="Q326" s="8"/>
      <c r="R326" s="8"/>
      <c r="S326" s="10"/>
      <c r="T326" s="10"/>
      <c r="U326" s="10"/>
      <c r="V326" s="10"/>
      <c r="W326" s="10"/>
      <c r="X326" s="10"/>
      <c r="Y326" s="10"/>
      <c r="Z326" s="10"/>
      <c r="AA326" s="10"/>
      <c r="AB326" s="10"/>
      <c r="AC326" s="8"/>
      <c r="AD326" s="8"/>
      <c r="AE326" s="8"/>
    </row>
    <row r="327" spans="1:31" ht="17">
      <c r="A327" s="4" t="s">
        <v>7</v>
      </c>
      <c r="B327" s="2" t="s">
        <v>249</v>
      </c>
      <c r="C327" s="13" t="s">
        <v>15</v>
      </c>
      <c r="D327" s="8"/>
      <c r="E327" s="5" t="s">
        <v>21</v>
      </c>
      <c r="F327" s="4"/>
      <c r="G327" s="4"/>
      <c r="H327" s="4"/>
      <c r="I327" s="4"/>
      <c r="J327" s="4"/>
      <c r="K327" s="8"/>
      <c r="L327" s="8"/>
      <c r="M327" s="8"/>
      <c r="N327" s="8"/>
      <c r="O327" s="8"/>
      <c r="P327" s="8"/>
      <c r="Q327" s="8"/>
      <c r="R327" s="8"/>
      <c r="S327" s="10"/>
      <c r="T327" s="10"/>
      <c r="U327" s="10"/>
      <c r="V327" s="10"/>
      <c r="W327" s="10"/>
      <c r="X327" s="10"/>
      <c r="Y327" s="10"/>
      <c r="Z327" s="10"/>
      <c r="AA327" s="10"/>
      <c r="AB327" s="10"/>
      <c r="AC327" s="8"/>
      <c r="AD327" s="8"/>
      <c r="AE327" s="8"/>
    </row>
    <row r="328" spans="1:31" ht="17">
      <c r="A328" s="4" t="s">
        <v>10</v>
      </c>
      <c r="B328" s="2" t="s">
        <v>329</v>
      </c>
      <c r="C328" s="25" t="s">
        <v>15</v>
      </c>
      <c r="D328" s="13"/>
      <c r="E328" s="5" t="s">
        <v>298</v>
      </c>
      <c r="F328" s="4"/>
      <c r="G328" s="4"/>
      <c r="H328" s="4"/>
      <c r="I328" s="4"/>
      <c r="J328" s="4"/>
      <c r="K328" s="8"/>
      <c r="L328" s="8"/>
      <c r="M328" s="8"/>
      <c r="N328" s="8"/>
      <c r="O328" s="8"/>
      <c r="P328" s="8"/>
      <c r="Q328" s="8"/>
      <c r="R328" s="8"/>
      <c r="S328" s="10"/>
      <c r="T328" s="10"/>
      <c r="U328" s="10"/>
      <c r="V328" s="10"/>
      <c r="W328" s="10"/>
      <c r="X328" s="10"/>
      <c r="Y328" s="10"/>
      <c r="Z328" s="10"/>
      <c r="AA328" s="10"/>
      <c r="AB328" s="10"/>
      <c r="AC328" s="8"/>
      <c r="AD328" s="8"/>
      <c r="AE328" s="8"/>
    </row>
    <row r="329" spans="1:31" ht="17">
      <c r="A329" s="4" t="s">
        <v>10</v>
      </c>
      <c r="B329" s="2" t="s">
        <v>260</v>
      </c>
      <c r="C329" s="25" t="s">
        <v>15</v>
      </c>
      <c r="D329" s="13"/>
      <c r="E329" s="5" t="s">
        <v>298</v>
      </c>
      <c r="F329" s="4"/>
      <c r="G329" s="4"/>
      <c r="H329" s="4"/>
      <c r="I329" s="4"/>
      <c r="J329" s="4"/>
      <c r="K329" s="8"/>
      <c r="L329" s="8"/>
      <c r="M329" s="8"/>
      <c r="N329" s="8"/>
      <c r="O329" s="8"/>
      <c r="P329" s="8"/>
      <c r="Q329" s="8"/>
      <c r="R329" s="8"/>
      <c r="S329" s="10"/>
      <c r="T329" s="10"/>
      <c r="U329" s="10"/>
      <c r="V329" s="10"/>
      <c r="W329" s="10"/>
      <c r="X329" s="10"/>
      <c r="Y329" s="10"/>
      <c r="Z329" s="10"/>
      <c r="AA329" s="10"/>
      <c r="AB329" s="10"/>
      <c r="AC329" s="8"/>
      <c r="AD329" s="8"/>
      <c r="AE329" s="8"/>
    </row>
    <row r="330" spans="1:31" ht="17">
      <c r="A330" s="4" t="s">
        <v>10</v>
      </c>
      <c r="B330" s="2" t="s">
        <v>330</v>
      </c>
      <c r="C330" s="25" t="s">
        <v>15</v>
      </c>
      <c r="D330" s="13"/>
      <c r="E330" s="5" t="s">
        <v>298</v>
      </c>
      <c r="F330" s="4"/>
      <c r="G330" s="4"/>
      <c r="H330" s="4"/>
      <c r="I330" s="4"/>
      <c r="J330" s="4"/>
      <c r="K330" s="8"/>
      <c r="L330" s="8"/>
      <c r="M330" s="8"/>
      <c r="N330" s="8"/>
      <c r="O330" s="8"/>
      <c r="P330" s="8"/>
      <c r="Q330" s="8"/>
      <c r="R330" s="8"/>
      <c r="S330" s="10"/>
      <c r="T330" s="10"/>
      <c r="U330" s="10"/>
      <c r="V330" s="10"/>
      <c r="W330" s="10"/>
      <c r="X330" s="10"/>
      <c r="Y330" s="10"/>
      <c r="Z330" s="10"/>
      <c r="AA330" s="10"/>
      <c r="AB330" s="10"/>
      <c r="AC330" s="8"/>
      <c r="AD330" s="8"/>
      <c r="AE330" s="8"/>
    </row>
    <row r="331" spans="1:31" ht="255">
      <c r="A331" s="4" t="s">
        <v>10</v>
      </c>
      <c r="B331" s="2" t="s">
        <v>129</v>
      </c>
      <c r="C331" s="27" t="s">
        <v>14</v>
      </c>
      <c r="D331" s="27" t="s">
        <v>14</v>
      </c>
      <c r="E331" s="5" t="s">
        <v>65</v>
      </c>
      <c r="F331" s="4">
        <v>0</v>
      </c>
      <c r="G331" s="4">
        <v>1</v>
      </c>
      <c r="H331" s="4">
        <v>0</v>
      </c>
      <c r="I331" s="4">
        <v>0</v>
      </c>
      <c r="J331" s="4" t="s">
        <v>344</v>
      </c>
      <c r="K331" s="8" t="s">
        <v>23</v>
      </c>
      <c r="L331" s="8">
        <v>0</v>
      </c>
      <c r="M331" s="8">
        <v>0</v>
      </c>
      <c r="N331" s="8" t="s">
        <v>65</v>
      </c>
      <c r="O331" s="8" t="s">
        <v>65</v>
      </c>
      <c r="P331" s="8">
        <v>104</v>
      </c>
      <c r="Q331" s="8" t="s">
        <v>586</v>
      </c>
      <c r="R331" s="8" t="s">
        <v>58</v>
      </c>
      <c r="S331" s="10" t="s">
        <v>587</v>
      </c>
      <c r="T331" s="10" t="s">
        <v>476</v>
      </c>
      <c r="U331" s="10" t="s">
        <v>402</v>
      </c>
      <c r="V331" s="10" t="s">
        <v>65</v>
      </c>
      <c r="W331" s="10" t="s">
        <v>585</v>
      </c>
      <c r="X331" s="10" t="s">
        <v>65</v>
      </c>
      <c r="Y331" s="10">
        <v>0</v>
      </c>
      <c r="Z331" s="10"/>
      <c r="AA331" s="10" t="s">
        <v>65</v>
      </c>
      <c r="AB331" s="10" t="s">
        <v>65</v>
      </c>
      <c r="AC331" s="8"/>
      <c r="AD331" s="8" t="s">
        <v>584</v>
      </c>
      <c r="AE331" s="8" t="s">
        <v>473</v>
      </c>
    </row>
    <row r="332" spans="1:31" ht="17">
      <c r="A332" s="4" t="s">
        <v>10</v>
      </c>
      <c r="B332" s="2" t="s">
        <v>331</v>
      </c>
      <c r="C332" s="25" t="s">
        <v>15</v>
      </c>
      <c r="D332" s="13"/>
      <c r="E332" s="8" t="s">
        <v>88</v>
      </c>
      <c r="F332" s="4"/>
      <c r="G332" s="4"/>
      <c r="H332" s="4"/>
      <c r="I332" s="4"/>
      <c r="J332" s="4"/>
      <c r="K332" s="8"/>
      <c r="L332" s="8"/>
      <c r="M332" s="8"/>
      <c r="N332" s="8"/>
      <c r="O332" s="8"/>
      <c r="P332" s="8"/>
      <c r="Q332" s="8"/>
      <c r="R332" s="8"/>
      <c r="S332" s="10"/>
      <c r="T332" s="10"/>
      <c r="U332" s="10"/>
      <c r="V332" s="10"/>
      <c r="W332" s="10"/>
      <c r="X332" s="10"/>
      <c r="Y332" s="10"/>
      <c r="Z332" s="10"/>
      <c r="AA332" s="10"/>
      <c r="AB332" s="10"/>
      <c r="AC332" s="8"/>
      <c r="AD332" s="8"/>
      <c r="AE332" s="8"/>
    </row>
    <row r="333" spans="1:31" ht="17">
      <c r="A333" s="4" t="s">
        <v>7</v>
      </c>
      <c r="B333" s="2" t="s">
        <v>182</v>
      </c>
      <c r="C333" s="13" t="s">
        <v>15</v>
      </c>
      <c r="D333" s="8"/>
      <c r="E333" s="5" t="s">
        <v>21</v>
      </c>
      <c r="F333" s="4"/>
      <c r="G333" s="4"/>
      <c r="H333" s="4"/>
      <c r="I333" s="4"/>
      <c r="J333" s="4"/>
      <c r="K333" s="8"/>
      <c r="L333" s="8"/>
      <c r="M333" s="8"/>
      <c r="N333" s="8"/>
      <c r="O333" s="8"/>
      <c r="P333" s="8"/>
      <c r="Q333" s="8"/>
      <c r="R333" s="8"/>
      <c r="S333" s="10"/>
      <c r="T333" s="10"/>
      <c r="U333" s="10"/>
      <c r="V333" s="10"/>
      <c r="W333" s="10"/>
      <c r="X333" s="10"/>
      <c r="Y333" s="10"/>
      <c r="Z333" s="10"/>
      <c r="AA333" s="10"/>
      <c r="AB333" s="10"/>
      <c r="AC333" s="8"/>
      <c r="AD333" s="8"/>
      <c r="AE333" s="8"/>
    </row>
    <row r="334" spans="1:31" ht="17">
      <c r="A334" s="4" t="s">
        <v>10</v>
      </c>
      <c r="B334" s="2" t="s">
        <v>332</v>
      </c>
      <c r="C334" s="25" t="s">
        <v>15</v>
      </c>
      <c r="D334" s="15"/>
      <c r="E334" s="5" t="s">
        <v>298</v>
      </c>
      <c r="F334" s="4"/>
      <c r="G334" s="4"/>
      <c r="H334" s="4"/>
      <c r="I334" s="4"/>
      <c r="J334" s="4"/>
      <c r="K334" s="8"/>
      <c r="L334" s="8"/>
      <c r="M334" s="8"/>
      <c r="N334" s="8"/>
      <c r="O334" s="8"/>
      <c r="P334" s="8"/>
      <c r="Q334" s="8"/>
      <c r="R334" s="8"/>
      <c r="S334" s="10"/>
      <c r="T334" s="11"/>
      <c r="U334" s="11"/>
      <c r="V334" s="10"/>
      <c r="W334" s="10"/>
      <c r="X334" s="10"/>
      <c r="Y334" s="10"/>
      <c r="Z334" s="10"/>
      <c r="AA334" s="10"/>
      <c r="AB334" s="10"/>
      <c r="AC334" s="8"/>
      <c r="AD334" s="16"/>
      <c r="AE334" s="17"/>
    </row>
    <row r="335" spans="1:31" ht="17">
      <c r="A335" s="4" t="s">
        <v>10</v>
      </c>
      <c r="B335" s="2" t="s">
        <v>246</v>
      </c>
      <c r="C335" s="25" t="s">
        <v>15</v>
      </c>
      <c r="D335" s="8"/>
      <c r="E335" s="5" t="s">
        <v>295</v>
      </c>
      <c r="F335" s="4"/>
      <c r="G335" s="4"/>
      <c r="H335" s="4"/>
      <c r="I335" s="4"/>
      <c r="J335" s="4"/>
      <c r="K335" s="8"/>
      <c r="L335" s="8"/>
      <c r="M335" s="8"/>
      <c r="N335" s="8"/>
      <c r="O335" s="8"/>
      <c r="P335" s="8"/>
      <c r="Q335" s="8"/>
      <c r="R335" s="8"/>
      <c r="S335" s="10"/>
      <c r="T335" s="11"/>
      <c r="U335" s="11"/>
      <c r="V335" s="10"/>
      <c r="W335" s="10"/>
      <c r="X335" s="10"/>
      <c r="Y335" s="10"/>
      <c r="Z335" s="10"/>
      <c r="AA335" s="10"/>
      <c r="AB335" s="10"/>
      <c r="AC335" s="8"/>
      <c r="AD335" s="16"/>
      <c r="AE335" s="17"/>
    </row>
    <row r="336" spans="1:31" ht="17">
      <c r="A336" s="4" t="s">
        <v>7</v>
      </c>
      <c r="B336" s="2" t="s">
        <v>232</v>
      </c>
      <c r="C336" s="13" t="s">
        <v>15</v>
      </c>
      <c r="D336" s="8"/>
      <c r="E336" s="5" t="s">
        <v>21</v>
      </c>
      <c r="F336" s="4"/>
      <c r="G336" s="4"/>
      <c r="H336" s="4"/>
      <c r="I336" s="4"/>
      <c r="J336" s="4"/>
      <c r="K336" s="8"/>
      <c r="L336" s="8"/>
      <c r="M336" s="8"/>
      <c r="N336" s="8"/>
      <c r="O336" s="8"/>
      <c r="P336" s="8"/>
      <c r="Q336" s="8"/>
      <c r="R336" s="8"/>
      <c r="S336" s="10"/>
      <c r="T336" s="11"/>
      <c r="U336" s="11"/>
      <c r="V336" s="10"/>
      <c r="W336" s="10"/>
      <c r="X336" s="10"/>
      <c r="Y336" s="10"/>
      <c r="Z336" s="10"/>
      <c r="AA336" s="10"/>
      <c r="AB336" s="10"/>
      <c r="AC336" s="8"/>
      <c r="AD336" s="8"/>
      <c r="AE336" s="8"/>
    </row>
    <row r="337" spans="1:31" ht="17">
      <c r="A337" s="4" t="s">
        <v>7</v>
      </c>
      <c r="B337" s="2" t="s">
        <v>222</v>
      </c>
      <c r="C337" s="13" t="s">
        <v>15</v>
      </c>
      <c r="D337" s="8"/>
      <c r="E337" s="5" t="s">
        <v>21</v>
      </c>
      <c r="F337" s="4"/>
      <c r="G337" s="4"/>
      <c r="H337" s="4"/>
      <c r="I337" s="4"/>
      <c r="J337" s="4"/>
      <c r="K337" s="8"/>
      <c r="L337" s="8"/>
      <c r="M337" s="8"/>
      <c r="N337" s="8"/>
      <c r="O337" s="8"/>
      <c r="P337" s="8"/>
      <c r="Q337" s="8"/>
      <c r="R337" s="8"/>
      <c r="S337" s="10"/>
      <c r="T337" s="10"/>
      <c r="U337" s="10"/>
      <c r="V337" s="10"/>
      <c r="W337" s="10"/>
      <c r="X337" s="10"/>
      <c r="Y337" s="10"/>
      <c r="Z337" s="10"/>
      <c r="AA337" s="10"/>
      <c r="AB337" s="10"/>
      <c r="AC337" s="8"/>
      <c r="AD337" s="8"/>
      <c r="AE337" s="8"/>
    </row>
    <row r="338" spans="1:31" ht="17">
      <c r="A338" s="4" t="s">
        <v>7</v>
      </c>
      <c r="B338" s="2" t="s">
        <v>105</v>
      </c>
      <c r="C338" s="13" t="s">
        <v>15</v>
      </c>
      <c r="D338" s="8"/>
      <c r="E338" s="5" t="s">
        <v>21</v>
      </c>
      <c r="F338" s="4"/>
      <c r="G338" s="4"/>
      <c r="H338" s="4"/>
      <c r="I338" s="4"/>
      <c r="J338" s="4"/>
      <c r="K338" s="8"/>
      <c r="L338" s="8"/>
      <c r="M338" s="8"/>
      <c r="N338" s="8"/>
      <c r="O338" s="8"/>
      <c r="P338" s="8"/>
      <c r="Q338" s="8"/>
      <c r="R338" s="8"/>
      <c r="S338" s="10"/>
      <c r="T338" s="10"/>
      <c r="U338" s="10"/>
      <c r="V338" s="10"/>
      <c r="W338" s="10"/>
      <c r="X338" s="10"/>
      <c r="Y338" s="10"/>
      <c r="Z338" s="10"/>
      <c r="AA338" s="10"/>
      <c r="AB338" s="10"/>
      <c r="AC338" s="8"/>
      <c r="AD338" s="8"/>
      <c r="AE338" s="8"/>
    </row>
    <row r="339" spans="1:31" ht="17">
      <c r="A339" s="4" t="s">
        <v>10</v>
      </c>
      <c r="B339" s="2" t="s">
        <v>333</v>
      </c>
      <c r="C339" s="25" t="s">
        <v>15</v>
      </c>
      <c r="D339" s="8"/>
      <c r="E339" s="5" t="s">
        <v>298</v>
      </c>
      <c r="F339" s="12"/>
      <c r="G339" s="12"/>
      <c r="H339" s="12"/>
      <c r="I339" s="12"/>
      <c r="J339" s="4"/>
      <c r="K339" s="8"/>
      <c r="L339" s="8"/>
      <c r="M339" s="8"/>
      <c r="N339" s="8"/>
      <c r="O339" s="8"/>
      <c r="P339" s="8"/>
      <c r="Q339" s="8"/>
      <c r="R339" s="8"/>
      <c r="S339" s="10"/>
      <c r="T339" s="10"/>
      <c r="U339" s="10"/>
      <c r="V339" s="10"/>
      <c r="W339" s="10"/>
      <c r="X339" s="10"/>
      <c r="Y339" s="10"/>
      <c r="Z339" s="10"/>
      <c r="AA339" s="10"/>
      <c r="AB339" s="10"/>
      <c r="AC339" s="8"/>
      <c r="AD339" s="8"/>
      <c r="AE339" s="8"/>
    </row>
    <row r="340" spans="1:31" ht="17">
      <c r="A340" s="4" t="s">
        <v>10</v>
      </c>
      <c r="B340" s="2" t="s">
        <v>334</v>
      </c>
      <c r="C340" s="25" t="s">
        <v>15</v>
      </c>
      <c r="D340" s="8"/>
      <c r="E340" s="8" t="s">
        <v>88</v>
      </c>
      <c r="F340" s="4"/>
      <c r="G340" s="4"/>
      <c r="H340" s="4"/>
      <c r="I340" s="4"/>
      <c r="J340" s="4"/>
      <c r="K340" s="8"/>
      <c r="L340" s="8"/>
      <c r="M340" s="8"/>
      <c r="N340" s="8"/>
      <c r="O340" s="8"/>
      <c r="P340" s="8"/>
      <c r="Q340" s="8"/>
      <c r="R340" s="8"/>
      <c r="S340" s="10"/>
      <c r="T340" s="10"/>
      <c r="U340" s="10"/>
      <c r="V340" s="10"/>
      <c r="W340" s="10"/>
      <c r="X340" s="10"/>
      <c r="Y340" s="10"/>
      <c r="Z340" s="10"/>
      <c r="AA340" s="10"/>
      <c r="AB340" s="10"/>
      <c r="AC340" s="8"/>
      <c r="AD340" s="8"/>
      <c r="AE340" s="8"/>
    </row>
    <row r="341" spans="1:31" ht="17">
      <c r="A341" s="4" t="s">
        <v>7</v>
      </c>
      <c r="B341" s="2" t="s">
        <v>226</v>
      </c>
      <c r="C341" s="13" t="s">
        <v>15</v>
      </c>
      <c r="D341" s="8"/>
      <c r="E341" s="5" t="s">
        <v>21</v>
      </c>
      <c r="F341" s="4"/>
      <c r="G341" s="4"/>
      <c r="H341" s="4"/>
      <c r="I341" s="4"/>
      <c r="J341" s="4"/>
      <c r="K341" s="8"/>
      <c r="L341" s="8"/>
      <c r="M341" s="8"/>
      <c r="N341" s="8"/>
      <c r="O341" s="8"/>
      <c r="P341" s="8"/>
      <c r="Q341" s="8"/>
      <c r="R341" s="8"/>
      <c r="S341" s="10"/>
      <c r="T341" s="10"/>
      <c r="U341" s="10"/>
      <c r="V341" s="10"/>
      <c r="W341" s="10"/>
      <c r="X341" s="10"/>
      <c r="Y341" s="10"/>
      <c r="Z341" s="10"/>
      <c r="AA341" s="10"/>
      <c r="AB341" s="10"/>
      <c r="AC341" s="8"/>
      <c r="AD341" s="8"/>
      <c r="AE341" s="8"/>
    </row>
    <row r="342" spans="1:31" ht="17">
      <c r="A342" s="4" t="s">
        <v>10</v>
      </c>
      <c r="B342" s="2" t="s">
        <v>335</v>
      </c>
      <c r="C342" s="25" t="s">
        <v>15</v>
      </c>
      <c r="D342" s="8"/>
      <c r="E342" s="8" t="s">
        <v>88</v>
      </c>
      <c r="F342" s="4"/>
      <c r="G342" s="4"/>
      <c r="H342" s="4"/>
      <c r="I342" s="4"/>
      <c r="J342" s="4"/>
      <c r="K342" s="8"/>
      <c r="L342" s="8"/>
      <c r="M342" s="8"/>
      <c r="N342" s="8"/>
      <c r="O342" s="8"/>
      <c r="P342" s="8"/>
      <c r="Q342" s="8"/>
      <c r="R342" s="8"/>
      <c r="S342" s="4"/>
      <c r="T342" s="4"/>
      <c r="U342" s="4"/>
      <c r="V342" s="4"/>
      <c r="W342" s="4"/>
      <c r="X342" s="4"/>
      <c r="Y342" s="4"/>
      <c r="Z342" s="4"/>
      <c r="AA342" s="4"/>
      <c r="AB342" s="4"/>
      <c r="AC342" s="8"/>
      <c r="AD342" s="8"/>
      <c r="AE342" s="8"/>
    </row>
    <row r="343" spans="1:31" ht="17">
      <c r="A343" s="4" t="s">
        <v>10</v>
      </c>
      <c r="B343" s="2" t="s">
        <v>336</v>
      </c>
      <c r="C343" s="25" t="s">
        <v>15</v>
      </c>
      <c r="D343" s="8"/>
      <c r="E343" s="5" t="s">
        <v>298</v>
      </c>
      <c r="F343" s="4"/>
      <c r="G343" s="4"/>
      <c r="H343" s="4"/>
      <c r="I343" s="4"/>
      <c r="J343" s="4"/>
      <c r="K343" s="8"/>
      <c r="L343" s="8"/>
      <c r="M343" s="8"/>
      <c r="N343" s="8"/>
      <c r="O343" s="8"/>
      <c r="P343" s="8"/>
      <c r="Q343" s="8"/>
      <c r="R343" s="8"/>
      <c r="S343" s="4"/>
      <c r="T343" s="4"/>
      <c r="U343" s="4"/>
      <c r="V343" s="4"/>
      <c r="W343" s="4"/>
      <c r="X343" s="4"/>
      <c r="Y343" s="4"/>
      <c r="Z343" s="4"/>
      <c r="AA343" s="4"/>
      <c r="AB343" s="4"/>
      <c r="AC343" s="8"/>
      <c r="AD343" s="8"/>
      <c r="AE343" s="8"/>
    </row>
    <row r="344" spans="1:31" ht="17">
      <c r="A344" s="4" t="s">
        <v>16</v>
      </c>
      <c r="B344" s="4" t="s">
        <v>299</v>
      </c>
      <c r="C344" s="13" t="s">
        <v>15</v>
      </c>
      <c r="D344" s="15"/>
      <c r="E344" s="8" t="s">
        <v>88</v>
      </c>
      <c r="F344" s="4"/>
      <c r="G344" s="4"/>
      <c r="H344" s="4"/>
      <c r="I344" s="4"/>
      <c r="J344" s="4"/>
      <c r="K344" s="8"/>
      <c r="L344" s="8"/>
      <c r="M344" s="8"/>
      <c r="N344" s="8"/>
      <c r="O344" s="8"/>
      <c r="P344" s="8"/>
      <c r="Q344" s="8"/>
      <c r="R344" s="8"/>
      <c r="S344" s="10"/>
      <c r="T344" s="10"/>
      <c r="U344" s="10"/>
      <c r="V344" s="10"/>
      <c r="W344" s="10"/>
      <c r="X344" s="10"/>
      <c r="Y344" s="4"/>
      <c r="Z344" s="4"/>
      <c r="AA344" s="4"/>
      <c r="AB344" s="4"/>
      <c r="AC344" s="8"/>
      <c r="AD344" s="8"/>
      <c r="AE344" s="8"/>
    </row>
    <row r="345" spans="1:31" ht="17">
      <c r="A345" s="4" t="s">
        <v>16</v>
      </c>
      <c r="B345" s="4" t="s">
        <v>300</v>
      </c>
      <c r="C345" s="13" t="s">
        <v>15</v>
      </c>
      <c r="D345" s="15"/>
      <c r="E345" s="8" t="s">
        <v>88</v>
      </c>
      <c r="F345" s="4"/>
      <c r="G345" s="4"/>
      <c r="H345" s="4"/>
      <c r="I345" s="4"/>
      <c r="J345" s="4"/>
      <c r="K345" s="8"/>
      <c r="L345" s="8"/>
      <c r="M345" s="8"/>
      <c r="N345" s="8"/>
      <c r="O345" s="8"/>
      <c r="P345" s="8"/>
      <c r="Q345" s="8"/>
      <c r="R345" s="8"/>
      <c r="S345" s="10"/>
      <c r="T345" s="4"/>
      <c r="U345" s="10"/>
      <c r="V345" s="10"/>
      <c r="W345" s="4"/>
      <c r="X345" s="4"/>
      <c r="Y345" s="4"/>
      <c r="Z345" s="4"/>
      <c r="AA345" s="4"/>
      <c r="AB345" s="4"/>
      <c r="AC345" s="8"/>
      <c r="AD345" s="8"/>
      <c r="AE345" s="8"/>
    </row>
    <row r="346" spans="1:31" ht="17">
      <c r="A346" s="4" t="s">
        <v>16</v>
      </c>
      <c r="B346" s="4" t="s">
        <v>301</v>
      </c>
      <c r="C346" s="13" t="s">
        <v>15</v>
      </c>
      <c r="D346" s="15"/>
      <c r="E346" s="8" t="s">
        <v>88</v>
      </c>
      <c r="F346" s="4"/>
      <c r="G346" s="4"/>
      <c r="H346" s="4"/>
      <c r="I346" s="4"/>
      <c r="J346" s="4"/>
      <c r="K346" s="8"/>
      <c r="L346" s="8"/>
      <c r="M346" s="8"/>
      <c r="N346" s="8"/>
      <c r="O346" s="8"/>
      <c r="P346" s="8"/>
      <c r="Q346" s="8"/>
      <c r="R346" s="8"/>
      <c r="S346" s="10"/>
      <c r="T346" s="10"/>
      <c r="U346" s="10"/>
      <c r="V346" s="10"/>
      <c r="W346" s="4"/>
      <c r="X346" s="4"/>
      <c r="Y346" s="4"/>
      <c r="Z346" s="4"/>
      <c r="AA346" s="4"/>
      <c r="AB346" s="4"/>
      <c r="AC346" s="8"/>
      <c r="AD346" s="8"/>
      <c r="AE346" s="8"/>
    </row>
  </sheetData>
  <hyperlinks>
    <hyperlink ref="AD20" r:id="rId1" xr:uid="{09D220F3-67D5-A447-93BF-0C266DEBADC8}"/>
    <hyperlink ref="AD26" r:id="rId2" xr:uid="{3D20B164-380F-3744-A125-CA15CC3D6837}"/>
    <hyperlink ref="AD23" r:id="rId3" xr:uid="{9B9A6E37-DB88-AE4E-B144-C0711407160E}"/>
    <hyperlink ref="AD48" r:id="rId4" xr:uid="{9EE729A9-AA27-F542-A679-63422BFA5950}"/>
    <hyperlink ref="AD51" r:id="rId5" xr:uid="{57619481-B438-6048-8505-B15FE82C3F78}"/>
    <hyperlink ref="AD70" r:id="rId6" xr:uid="{6BCCE84E-E57B-9248-95EF-B0C42614C443}"/>
    <hyperlink ref="AD90" r:id="rId7" xr:uid="{F7E87E8A-8553-7B4B-B30E-D469C2F2344F}"/>
    <hyperlink ref="AD96" r:id="rId8" xr:uid="{79B9A891-540B-EC4E-BC2A-56F516C4369F}"/>
    <hyperlink ref="AD97" r:id="rId9" xr:uid="{A1334EFF-B4F6-514E-8948-EAFCD3C5DE7C}"/>
    <hyperlink ref="AD111" r:id="rId10" xr:uid="{905CCEDB-A8EA-CA42-BE26-5AAA98AF060B}"/>
    <hyperlink ref="AD114" r:id="rId11" xr:uid="{217A83E1-60FA-4A49-8122-F71632BEE621}"/>
    <hyperlink ref="AD116" r:id="rId12" xr:uid="{F3DCBD5C-F440-644D-A5AE-188311A25405}"/>
    <hyperlink ref="AD119" r:id="rId13" xr:uid="{4E93E9DE-546A-C54B-8908-875C726B0E1C}"/>
    <hyperlink ref="AD125" r:id="rId14" xr:uid="{D029F279-D8F6-B646-BF5C-A4A501E25BD8}"/>
    <hyperlink ref="AD77" r:id="rId15" xr:uid="{D6AB9BFB-5BDA-1646-9764-8DF7D4C02A4E}"/>
    <hyperlink ref="AD120" r:id="rId16" xr:uid="{FF7C5589-EA73-2C4C-8E27-E322E6F8C3B0}"/>
    <hyperlink ref="AD130" r:id="rId17" xr:uid="{A63B99A8-CB58-EE4B-9C5B-7AB67F8D007F}"/>
    <hyperlink ref="AD131" r:id="rId18" xr:uid="{B55EC85F-8840-E243-AB06-D7CDC2884EA8}"/>
    <hyperlink ref="AD135" r:id="rId19" xr:uid="{5C098D9B-6BFC-374B-9492-3B3D75D91F7C}"/>
    <hyperlink ref="AD140" r:id="rId20" xr:uid="{7A5351C1-962A-AD44-802D-C0D663026842}"/>
    <hyperlink ref="AD142" r:id="rId21" xr:uid="{F25F257F-3199-3943-AEFD-4DB364BD0C4D}"/>
    <hyperlink ref="AD143" r:id="rId22" xr:uid="{C126BB5E-E5FA-F346-B7C3-D2794DC0E614}"/>
    <hyperlink ref="AD147" r:id="rId23" xr:uid="{60C1AEB1-AB45-A847-9943-1F1D11263FC3}"/>
    <hyperlink ref="AD148" r:id="rId24" xr:uid="{1A68DC8B-AEE4-444D-A80F-CF7AE9ED849B}"/>
    <hyperlink ref="AD151" r:id="rId25" xr:uid="{965CCBF2-7C16-CD44-9835-CE6C955D6A97}"/>
    <hyperlink ref="AD153" r:id="rId26" xr:uid="{EFEB2464-23EA-1147-BE08-E37777EFE0C6}"/>
    <hyperlink ref="AD155" r:id="rId27" xr:uid="{BBA2DAA0-41C7-B844-A7D7-ED35C8088F7D}"/>
    <hyperlink ref="AD162" r:id="rId28" xr:uid="{83909625-EEEB-204E-8912-BFE9160222D8}"/>
    <hyperlink ref="AD165" r:id="rId29" xr:uid="{0694FDD6-EC52-6F45-8FD3-FEC0740E684A}"/>
    <hyperlink ref="AD172" r:id="rId30" xr:uid="{830696DF-3066-AD4E-B487-77CBE6B6CC2E}"/>
    <hyperlink ref="AD174" r:id="rId31" xr:uid="{53B02A8B-BAE9-9443-BCC1-AABA0DEADDDE}"/>
    <hyperlink ref="AD183" r:id="rId32" xr:uid="{DD881B3F-8684-964C-8F88-D1A0C56FB4AC}"/>
    <hyperlink ref="AD187" r:id="rId33" xr:uid="{0CD666FC-DE50-0649-B481-AC0341FFEE73}"/>
    <hyperlink ref="AD189" r:id="rId34" xr:uid="{29400D3C-ED22-4E44-89EB-42BDF5B81003}"/>
    <hyperlink ref="AD193" r:id="rId35" xr:uid="{256CA127-3819-7F4A-85D4-AD6029BB9A32}"/>
    <hyperlink ref="AD197" r:id="rId36" xr:uid="{50CAAEB0-A719-264D-B673-86CBDF239A23}"/>
    <hyperlink ref="AD198" r:id="rId37" xr:uid="{4A261745-94EE-2246-9A21-CF2D7FC23562}"/>
    <hyperlink ref="AD199" r:id="rId38" xr:uid="{26C3897D-BA6E-FB44-8376-C37C266C2185}"/>
    <hyperlink ref="AD205" r:id="rId39" xr:uid="{6BE4DABB-3C36-FC4A-8B41-BBA943D59606}"/>
    <hyperlink ref="AD207" r:id="rId40" xr:uid="{B4F42BAE-7034-464E-8189-725996CE0743}"/>
    <hyperlink ref="AD210" r:id="rId41" xr:uid="{EB4C5BC8-0B99-1542-8EEA-6D273572588A}"/>
    <hyperlink ref="AD212" r:id="rId42" xr:uid="{BBB868FA-305F-D048-9561-6EE878635620}"/>
    <hyperlink ref="AD213" r:id="rId43" xr:uid="{C8490E2B-CB6A-1940-8AEA-3042A9BD54FE}"/>
    <hyperlink ref="AD215" r:id="rId44" xr:uid="{48205E1E-A3D2-3048-9D86-ACB18DB1CF22}"/>
    <hyperlink ref="AD228" r:id="rId45" xr:uid="{E15E143A-ED55-ED40-9B73-CE1F994A9496}"/>
    <hyperlink ref="AD225" r:id="rId46" xr:uid="{177BBFF0-E8FB-2745-AB05-A06AB50D24F0}"/>
    <hyperlink ref="AD230" r:id="rId47" xr:uid="{6B85FB01-952A-2A46-AB1D-213E0B7A45E3}"/>
    <hyperlink ref="AD231" r:id="rId48" xr:uid="{E1F816C3-A584-534B-A0C7-5E2E802CA559}"/>
    <hyperlink ref="AD234" r:id="rId49" xr:uid="{758729CA-57B7-4640-97DC-195D5BFC3AEE}"/>
    <hyperlink ref="AD235" r:id="rId50" xr:uid="{DE438BDA-5C17-6745-9C0C-51591F7E28AE}"/>
    <hyperlink ref="AD236" r:id="rId51" xr:uid="{F209AFCD-FB0B-CC4D-AD79-A4B97F0573A2}"/>
    <hyperlink ref="AD238" r:id="rId52" xr:uid="{4124B7FC-116B-E547-97E5-86FCE6ED354D}"/>
    <hyperlink ref="AD260" r:id="rId53" xr:uid="{CE6CD520-1E74-7D41-AA77-A456F96A457F}"/>
    <hyperlink ref="AD173" r:id="rId54" xr:uid="{6478AC56-03B1-D34A-BDAD-A7A8346B82A4}"/>
    <hyperlink ref="AD175" r:id="rId55" xr:uid="{4F3DBA41-376B-C744-A84A-9CA554208E06}"/>
    <hyperlink ref="AD176" r:id="rId56" xr:uid="{E1089F21-0071-1044-AD58-D957F9D1F9AF}"/>
    <hyperlink ref="AD179" r:id="rId57" xr:uid="{781AE20E-2987-4145-A05B-1F99119B2C63}"/>
    <hyperlink ref="AD181" r:id="rId58" xr:uid="{3A7F46EB-15FD-054D-8430-445ED5E9E5C3}"/>
    <hyperlink ref="AD185" r:id="rId59" xr:uid="{6FE01EFC-6825-C24A-BD4A-BDD4C98E805A}"/>
    <hyperlink ref="AD192" r:id="rId60" xr:uid="{04A3F153-CD81-934D-B8A8-3B6662701F7F}"/>
    <hyperlink ref="AD200" r:id="rId61" xr:uid="{F3F3ABF6-4A65-5C4E-A81F-9E930E36B534}"/>
    <hyperlink ref="AD201" r:id="rId62" xr:uid="{5BF3C175-2CCD-4D4E-AAC7-B3775A9ADE34}"/>
    <hyperlink ref="AD250" r:id="rId63" xr:uid="{F338002F-7F9B-2740-BA07-05B5F36BAE56}"/>
    <hyperlink ref="AD248" r:id="rId64" xr:uid="{7E19A599-0EB2-094D-B604-659D1A459885}"/>
    <hyperlink ref="AD266" r:id="rId65" xr:uid="{7196F7C5-28B7-7243-91C9-3D6DC26841A7}"/>
    <hyperlink ref="AD267" r:id="rId66" xr:uid="{F1A35E8A-7785-F142-B989-50506435AB61}"/>
    <hyperlink ref="AD269" r:id="rId67" xr:uid="{452E2487-B217-2A42-A1C3-D919B1939327}"/>
    <hyperlink ref="AD203" r:id="rId68" xr:uid="{98656D12-8305-D94C-B29B-371D9DFC76EE}"/>
    <hyperlink ref="AD206" r:id="rId69" xr:uid="{C25EDFB3-9E3B-AD45-99BD-57D3B13DD560}"/>
    <hyperlink ref="AD208" r:id="rId70" xr:uid="{7E0EBD5F-56AD-CC49-9DBB-A22FB07C31FB}"/>
    <hyperlink ref="AD209" r:id="rId71" xr:uid="{1E3AA30B-A91E-BE49-A31B-E6905682B77A}"/>
    <hyperlink ref="AD216" r:id="rId72" xr:uid="{1DF6B77D-2687-0E4B-8FAC-C718342BD1F6}"/>
    <hyperlink ref="AD219" r:id="rId73" xr:uid="{257B6204-464D-E841-8D6D-C98FCAC1F3D6}"/>
    <hyperlink ref="AD224" r:id="rId74" xr:uid="{CC8D1576-1846-C640-8850-E7E9F294216B}"/>
    <hyperlink ref="AD237" r:id="rId75" xr:uid="{A4340F10-E8AE-EA40-8217-4CEF41202875}"/>
    <hyperlink ref="AD242" r:id="rId76" xr:uid="{B75CA67B-E3A7-6448-BE0B-952AE793A647}"/>
    <hyperlink ref="AD245" r:id="rId77" xr:uid="{ADEF0B08-7DBF-2141-832B-412FAA691AB3}"/>
    <hyperlink ref="AD101" r:id="rId78" xr:uid="{D1146E25-77E2-1548-8704-DFBBABE98949}"/>
    <hyperlink ref="AD127" r:id="rId79" xr:uid="{F5DC644F-0FB0-CD47-9A15-08F45E588648}"/>
    <hyperlink ref="AD132" r:id="rId80" xr:uid="{F1646B4F-27E7-E447-82AA-68846B5A41DD}"/>
    <hyperlink ref="AD145" r:id="rId81" xr:uid="{33839BD4-7A3E-6648-9246-3DB2DDB31337}"/>
    <hyperlink ref="AD146" r:id="rId82" xr:uid="{BA37A985-5172-2045-AE20-1BD01AA845FC}"/>
    <hyperlink ref="AD261" r:id="rId83" xr:uid="{0AF7DD00-2204-C744-9367-3F578FAD3F58}"/>
    <hyperlink ref="AD258" r:id="rId84" xr:uid="{4242127E-308E-B34E-8911-5A6102EBDDDB}"/>
    <hyperlink ref="AD86" r:id="rId85" xr:uid="{38B6C530-3FBF-954D-BA34-18CF796EFCEF}"/>
    <hyperlink ref="AD64" r:id="rId86" xr:uid="{9CEE4055-94BD-BC46-A786-8F2918A4E7A0}"/>
    <hyperlink ref="AD71" r:id="rId87" xr:uid="{36CCEE40-A406-3540-9447-BFC3EDDA4ABE}"/>
    <hyperlink ref="AD83" r:id="rId88" xr:uid="{0F433263-4770-C445-A82D-04D83F429A1E}"/>
    <hyperlink ref="AD84" r:id="rId89" xr:uid="{B1A70EE3-E893-CB4C-9605-A1C104B6E5F6}"/>
    <hyperlink ref="AD93" r:id="rId90" xr:uid="{D3474BE3-866F-8C4A-B585-3A4A738B521D}"/>
    <hyperlink ref="AD109" r:id="rId91" xr:uid="{0F280F80-A0F6-9345-848E-A98FBE9F0A71}"/>
    <hyperlink ref="AD196" r:id="rId92" xr:uid="{8FB2594A-3E87-A147-A98E-546689E8099A}"/>
    <hyperlink ref="AD103" r:id="rId93" xr:uid="{7BCDB9EB-A274-8649-9568-83D8DC5728A7}"/>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search_queries</vt:lpstr>
      <vt:lpstr>articles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Sofia Begonha Morgado</dc:creator>
  <cp:lastModifiedBy>Sofia Begonha Morgado</cp:lastModifiedBy>
  <dcterms:created xsi:type="dcterms:W3CDTF">2024-12-23T11:52:05Z</dcterms:created>
  <dcterms:modified xsi:type="dcterms:W3CDTF">2025-09-23T11:03:52Z</dcterms:modified>
</cp:coreProperties>
</file>